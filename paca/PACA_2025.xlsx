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4_TONG_HOP" sheetId="1" r:id="rId5"/>
    <sheet state="visible" name="THEO_DOI" sheetId="2" r:id="rId6"/>
    <sheet state="visible" name="CANH_BAO_MINH_CHUNG" sheetId="3" r:id="rId7"/>
    <sheet state="visible" name="DM_DON_VI" sheetId="4" r:id="rId8"/>
    <sheet state="visible" name="DM_TIEU_CHI" sheetId="5" r:id="rId9"/>
    <sheet state="visible" name="FORM_DATA" sheetId="6" r:id="rId10"/>
    <sheet state="visible" name="FILE_UPLOADS" sheetId="7" r:id="rId11"/>
    <sheet state="hidden" name="HUONG_DAN" sheetId="8" r:id="rId12"/>
  </sheets>
  <definedNames/>
  <calcPr/>
</workbook>
</file>

<file path=xl/sharedStrings.xml><?xml version="1.0" encoding="utf-8"?>
<sst xmlns="http://schemas.openxmlformats.org/spreadsheetml/2006/main" count="5610" uniqueCount="410">
  <si>
    <t>ROW_ID</t>
  </si>
  <si>
    <t>MA_TIEU_CHI</t>
  </si>
  <si>
    <t>NOI_DUNG_TIEU_CHI</t>
  </si>
  <si>
    <t>CAP_TIEU_CHI</t>
  </si>
  <si>
    <t>CO_NHAP_LIEU</t>
  </si>
  <si>
    <t>Văn phòng UBND tỉnh</t>
  </si>
  <si>
    <t>Sở Tài chính</t>
  </si>
  <si>
    <t>Sở Nông nghiệp và Môi trường</t>
  </si>
  <si>
    <t>Sở Xây dựng</t>
  </si>
  <si>
    <t>Sở Tư pháp</t>
  </si>
  <si>
    <t>Sở Công thương</t>
  </si>
  <si>
    <t>Sở Văn hóa thể thao và Du lịch</t>
  </si>
  <si>
    <t>Sở Giáo dục và Đào tạo</t>
  </si>
  <si>
    <t>Sở Khoa học và Công nghệ</t>
  </si>
  <si>
    <t>Sở Y tế</t>
  </si>
  <si>
    <t>Sở Nội vụ</t>
  </si>
  <si>
    <t>Sở Ngoại vụ</t>
  </si>
  <si>
    <t>Thanh tra tỉnh</t>
  </si>
  <si>
    <t>Sở Dân tộc và Tôn giáo</t>
  </si>
  <si>
    <t>Ban Quản lý KKTNS và Các KCN</t>
  </si>
  <si>
    <t>Viện quy hoạch kiến trúc Thanh Hóa</t>
  </si>
  <si>
    <t>R9</t>
  </si>
  <si>
    <t>A</t>
  </si>
  <si>
    <t>A. TIÊU CHÍ ĐÁNH GIÁ VIỆC LÃNH ĐẠO, CHỈ ĐẠO, XÂY DỰNG VÀ HOÀN THIỆN CHÍNH SÁCH, PHÁP LUẬT VỀ PCTN</t>
  </si>
  <si>
    <t>Không</t>
  </si>
  <si>
    <t>R10</t>
  </si>
  <si>
    <t>A.1</t>
  </si>
  <si>
    <t>A.1. Đánh giá việc lãnh đạo, chỉ đạo công tác PCTN:</t>
  </si>
  <si>
    <t>R11</t>
  </si>
  <si>
    <t>A.1.1</t>
  </si>
  <si>
    <t>A.1.1. Triển khai thực hiện các văn bản của các cơ quan ở Trung ương về PCTN trong năm 2025</t>
  </si>
  <si>
    <t>R12</t>
  </si>
  <si>
    <t>A.1.1.1</t>
  </si>
  <si>
    <t>A.1.1.1. Triển khai thực hiện Chương trình công tác năm 2025 của Ban Chỉ đạo Trung ương về phòng, chống tham nhũng, tiêu cực.</t>
  </si>
  <si>
    <t>R13</t>
  </si>
  <si>
    <t>A.1.1.2</t>
  </si>
  <si>
    <t>A.1.1.2. Triển khai thực hiện Nghị quyết số 168/NQ-CP ngày 11/10/2023 về Chiến lược quốc gia phòng, chống tham nhũng, tiêu cực đến năm 2030.</t>
  </si>
  <si>
    <t>R14</t>
  </si>
  <si>
    <t>A.1.1.3</t>
  </si>
  <si>
    <t>A.1.1.3. Triển khai thực hiện Quy định số 132-QĐ/TW ngày 27/10/2023 của Bộ Chính trị về kiểm soát quyền lực và phòng, chống tham nhũng, tiêu cực trong hoạt động điều tra, truy tố, xét xử, thi hành án.</t>
  </si>
  <si>
    <t>R15</t>
  </si>
  <si>
    <t>A.1.1.4</t>
  </si>
  <si>
    <t>A.1.1.4. Triển khai thực hiện Quy định số 131-QĐ/TW ngày 27/10/2023 của Bộ Chính trị về kiểm soát quyền lực và PCTNTC trong hoạt động kiểm tra, giám sát và thi hành kỷ luật đảng và trong hoạt động thanh tra, kiểm toán.</t>
  </si>
  <si>
    <t>R16</t>
  </si>
  <si>
    <t>A.1.1.5</t>
  </si>
  <si>
    <t>A.1.1.5. Triển khai thực hiện Quy định số 178-QĐ/TW ngày 27/6/2024 của Bộ Chính trị về kiểm soát quyền lực, PCTNTC trong công tác xây dựng pháp luật.</t>
  </si>
  <si>
    <t>R17</t>
  </si>
  <si>
    <t>A.1.2</t>
  </si>
  <si>
    <t>A.1.2. Ban hành kế hoạch PCTN năm 2025</t>
  </si>
  <si>
    <t>Có</t>
  </si>
  <si>
    <t>dsfds</t>
  </si>
  <si>
    <t>R18</t>
  </si>
  <si>
    <t>A.1.3</t>
  </si>
  <si>
    <t>A.1.3. Nội dung kế hoạch PCTN năm 2025</t>
  </si>
  <si>
    <t>R19</t>
  </si>
  <si>
    <t>A.1.3.1</t>
  </si>
  <si>
    <t>A.1.3.1. Về thực hiện các chỉ thị, nghị quyết của Trung ương về PCTN</t>
  </si>
  <si>
    <t>R20</t>
  </si>
  <si>
    <t>A.1.3.2</t>
  </si>
  <si>
    <t>A.1.3.2. Về kiểm tra, rà soát, hệ thống hóa văn bản quy phạm pháp luật về PCTN</t>
  </si>
  <si>
    <t>R21</t>
  </si>
  <si>
    <t>A.1.3.3</t>
  </si>
  <si>
    <t>A.1.3.3. Về xây dựng và hoàn thiện chính sách, pháp luật về PCTN</t>
  </si>
  <si>
    <t>R22</t>
  </si>
  <si>
    <t>A.1.3.4</t>
  </si>
  <si>
    <t>A.1.3.4. Về tuyên truyền, phổ biến giáo dục pháp luật về PCTN</t>
  </si>
  <si>
    <t>R23</t>
  </si>
  <si>
    <t>A.1.3.5</t>
  </si>
  <si>
    <t>A.1.3.5. Về kiểm tra và theo dõi thi hành văn bản quy phạm pháp luật về PCTN</t>
  </si>
  <si>
    <t>R24</t>
  </si>
  <si>
    <t>A.1.3.6</t>
  </si>
  <si>
    <t>A.1.3.6. Về kiểm tra, đánh giá việc thực hiện kế hoạch PCTN năm 2025</t>
  </si>
  <si>
    <t>R25</t>
  </si>
  <si>
    <t>A.2</t>
  </si>
  <si>
    <t>A.2. Đánh giá việc UBND tỉnh và các sở, ban, cơ quan, đơn vị thuộc UBND cấp tỉnh thực hiện kế hoạch PCTN của cấp tỉnh</t>
  </si>
  <si>
    <t>R26</t>
  </si>
  <si>
    <t>A.2.1</t>
  </si>
  <si>
    <t>A.2.1. Thực hiện kiểm tra, rà soát, hệ thống hóa văn bản quy phạm pháp luật về PCTN</t>
  </si>
  <si>
    <t>R27</t>
  </si>
  <si>
    <t>A.2.1.1</t>
  </si>
  <si>
    <t>A.2.1.1. Ban hành kế hoạch</t>
  </si>
  <si>
    <t>R28</t>
  </si>
  <si>
    <t>A.2.1.2</t>
  </si>
  <si>
    <t>A.2.1.2. Kết quả thực hiện</t>
  </si>
  <si>
    <t>R29</t>
  </si>
  <si>
    <t>A.2.3</t>
  </si>
  <si>
    <t>A.2.3. Thực hiện công tác tuyên truyền, phổ biến, giáo dục pháp luật về PCTN.</t>
  </si>
  <si>
    <t>R30</t>
  </si>
  <si>
    <t>A.2.2.1</t>
  </si>
  <si>
    <t>A.2.2.1. Ban hành kế hoạch</t>
  </si>
  <si>
    <t>R31</t>
  </si>
  <si>
    <t>A.2.2.2</t>
  </si>
  <si>
    <t>A.2.2.2. Kết quả thực hiện</t>
  </si>
  <si>
    <t>R32</t>
  </si>
  <si>
    <t>A.2.3. Thực hiện việc kiểm tra và theo dõi thi hành văn bản quy phạm pháp luật về PCTN</t>
  </si>
  <si>
    <t>R33</t>
  </si>
  <si>
    <t>A.2.4</t>
  </si>
  <si>
    <t>A.2.4. Tiếp công dân theo quy định của Luật tiếp công dân của Chủ tịch UBND cấp tỉnh</t>
  </si>
  <si>
    <t>R34</t>
  </si>
  <si>
    <t>A.2.5</t>
  </si>
  <si>
    <t>A.2.5. Tiếp công dân theo quy định của Luật tiếp công dân của Người đứng đầu cơ quan chuyên môn thuộc UBND cấp Tỉnh</t>
  </si>
  <si>
    <t>R35</t>
  </si>
  <si>
    <t>A.2.6</t>
  </si>
  <si>
    <t>A.2.6. Việc chỉ đạo của Chủ tịch UBND cấp tỉnh xử lý tố cáo, kiến nghị, phản ánh của công dân về tham nhũng.</t>
  </si>
  <si>
    <t>R36</t>
  </si>
  <si>
    <t>B</t>
  </si>
  <si>
    <t>B. ĐÁNH GIÁ VIỆC THỰC HIỆN CÁC BIỆN PHÁP PHÒNG NGỪA THAM NHŨNG</t>
  </si>
  <si>
    <t>R37</t>
  </si>
  <si>
    <t>B.1</t>
  </si>
  <si>
    <t>B.1. Công tác phòng ngừa tham nhũng trong cơ quan, tổ chức, đơn vị khu vực Nhà nước</t>
  </si>
  <si>
    <t>R38</t>
  </si>
  <si>
    <t>B.1.1</t>
  </si>
  <si>
    <t>B.1.1. Kết quả thực hiện công khai, minh bạch theo quy định của Luật PCTN 2018 trong một số lĩnh vực</t>
  </si>
  <si>
    <t>R39</t>
  </si>
  <si>
    <t>B.1.1.1</t>
  </si>
  <si>
    <t>B.1.1.1. Kết quả thực hiện công khai, minh bạch các thủ tục hành chính</t>
  </si>
  <si>
    <t>R40</t>
  </si>
  <si>
    <t>B.1.1.2</t>
  </si>
  <si>
    <t>B.1.1.2. Kết quả thực hiện công khai, minh bạch quy tắc ứng xử của người có chức vụ quyền hạn</t>
  </si>
  <si>
    <t>R41</t>
  </si>
  <si>
    <t>B.1.1.3</t>
  </si>
  <si>
    <t>B.1.1.3. Kết quả thực hiện công khai, minh bạch tuyển dụng, bổ nhiệm công chức, viên chức</t>
  </si>
  <si>
    <t>R42</t>
  </si>
  <si>
    <t>B.1.1.4</t>
  </si>
  <si>
    <t>B.1.1.4. Kết quả thực hiện công khai, minh bạch về ngân sách Nhà nước</t>
  </si>
  <si>
    <t>R43</t>
  </si>
  <si>
    <t>B.1.1.5</t>
  </si>
  <si>
    <t>B.1.1.5. Kết quả thực hiện công khai, minh bạch về tài sản công</t>
  </si>
  <si>
    <t>R44</t>
  </si>
  <si>
    <t>B.1.2</t>
  </si>
  <si>
    <t>B.1.2. Kết quả thực hiện cải cách hành chính (PAR 2025)</t>
  </si>
  <si>
    <t>R45</t>
  </si>
  <si>
    <t>B.1.3</t>
  </si>
  <si>
    <t>B.1.3. Kết quả thực hiện chuyển đổi số cấp tỉnh năm 2025</t>
  </si>
  <si>
    <t>R46</t>
  </si>
  <si>
    <t>B.1.4</t>
  </si>
  <si>
    <t>B.1.4. Kết quả thực hiện Đề án phát triển thanh toán không dùng tiền mặt</t>
  </si>
  <si>
    <t>R47</t>
  </si>
  <si>
    <t>B.1.5</t>
  </si>
  <si>
    <t>B.1.5. Kết quả thực hiện định mức, chế độ, tiêu chuẩn</t>
  </si>
  <si>
    <t>R48</t>
  </si>
  <si>
    <t>B.1.5.1</t>
  </si>
  <si>
    <t>B.1.5.1. Việc ban hành văn bản triển khai thực hiện</t>
  </si>
  <si>
    <t>R49</t>
  </si>
  <si>
    <t>B.1.5.2</t>
  </si>
  <si>
    <t>B.1.5.2. Kết quả thực hiện</t>
  </si>
  <si>
    <t>R50</t>
  </si>
  <si>
    <t>B.1.6</t>
  </si>
  <si>
    <t>B.1.6. Kết quả kiểm soát xung đột lợi ích (XĐLI)</t>
  </si>
  <si>
    <t>R51</t>
  </si>
  <si>
    <t>B.1.6.1</t>
  </si>
  <si>
    <t>B.1.6.1. Việc ban hành văn bản triển khai thực hiện</t>
  </si>
  <si>
    <t>R52</t>
  </si>
  <si>
    <t>B.1.6.2</t>
  </si>
  <si>
    <t>B.1.6.2. Kết quả thực hiện</t>
  </si>
  <si>
    <t>R53</t>
  </si>
  <si>
    <t>B.1.6.3</t>
  </si>
  <si>
    <t>B.1.6.3. Kết quả giải quyết XĐLI</t>
  </si>
  <si>
    <t>R54</t>
  </si>
  <si>
    <t>B.1.7</t>
  </si>
  <si>
    <t>B.1.7. Kết quả thực hiện chuyển đổi vị trí công tác của cán bộ, công chức, viên chức</t>
  </si>
  <si>
    <t>R55</t>
  </si>
  <si>
    <t>B.1.7.1</t>
  </si>
  <si>
    <t>B.1.7.1. Việc ban hành kế hoạch</t>
  </si>
  <si>
    <t>R56</t>
  </si>
  <si>
    <t>B.1.7.2</t>
  </si>
  <si>
    <t>B.1.7.2. Kết quả thực hiện</t>
  </si>
  <si>
    <t>R57</t>
  </si>
  <si>
    <t>B.1.8</t>
  </si>
  <si>
    <t>B.1.8. Kết quả thực hiện quy tắc ứng xử</t>
  </si>
  <si>
    <t>R58</t>
  </si>
  <si>
    <t>B.1.9</t>
  </si>
  <si>
    <t>B.1.9. Kết quả kiểm soát tài sản, thu nhập (TSTN)</t>
  </si>
  <si>
    <t>R59</t>
  </si>
  <si>
    <t>B.1.9.1</t>
  </si>
  <si>
    <t>B.1.9.1. Ban hành kế hoạch kê khai, công khai bản kê khai TSTN.</t>
  </si>
  <si>
    <t>R60</t>
  </si>
  <si>
    <t>B.1.9.2</t>
  </si>
  <si>
    <t>B.1.9.2. Kết quả kê khai, công khai bản kê khai TSTN</t>
  </si>
  <si>
    <t>R61</t>
  </si>
  <si>
    <t>B.1.9.3</t>
  </si>
  <si>
    <t>B.1.9.3. Việc ban hành, phê duyệt kế hoạch xác minh TSTN</t>
  </si>
  <si>
    <t>R62</t>
  </si>
  <si>
    <t>B.1.9.4</t>
  </si>
  <si>
    <t>B.1.9.4. Kết quả xác minh TSTN</t>
  </si>
  <si>
    <t>R63</t>
  </si>
  <si>
    <t>B.1.10</t>
  </si>
  <si>
    <t>B.1.10. Kết quả thực hiện Chỉ thị 10/CT-TTg của Thủ tướng Chính phủ</t>
  </si>
  <si>
    <t>R64</t>
  </si>
  <si>
    <t>B.1.10.1</t>
  </si>
  <si>
    <t>B.1.10.1. Kế hoạch triển khai thực hiện Chỉ thị 10/CT-TTg của Thủ tướng Chính phủ</t>
  </si>
  <si>
    <t>R65</t>
  </si>
  <si>
    <t>B.1.10.2</t>
  </si>
  <si>
    <t>B.1.10.2. Việc tiếp nhận, xử lý kiến nghị, phản ánh….</t>
  </si>
  <si>
    <t>R66</t>
  </si>
  <si>
    <t>B.1.10.3</t>
  </si>
  <si>
    <t>B.1.10.3. Kết quả xử lý vi phạm Chỉ thị 10/CT-TTg của Thủ tướng Chính phủ</t>
  </si>
  <si>
    <t>R67</t>
  </si>
  <si>
    <t>B.2</t>
  </si>
  <si>
    <t>B.2. Phòng ngừa tham nhũng trong doanh nghiệp, tổ chức khu vực ngoài Nhà nước</t>
  </si>
  <si>
    <t>R68</t>
  </si>
  <si>
    <t>B.2.1</t>
  </si>
  <si>
    <t>B.2.1. UBND cấp tỉnh ban hành văn bản hướng dẫn, đôn đốc, yêu cầu báo cáo kết quả thực hiện công tác phòng ngừa tham nhũng đối với doanh nghiệp, tổ chức khu vực ngoài Nhà nước</t>
  </si>
  <si>
    <t>R69</t>
  </si>
  <si>
    <t>B.2.2</t>
  </si>
  <si>
    <t>B.2.2. Kết quả thực hiện các biện pháp phòng ngừa tham nhũng của doanh nghiệp, tổ chức khu vực ngoài Nhà nước</t>
  </si>
  <si>
    <t>R70</t>
  </si>
  <si>
    <t>C</t>
  </si>
  <si>
    <t>C. ĐÁNH GIÁ VIỆC PHÁT HIỆN VÀ XỬ LÝ THAM NHŨNG</t>
  </si>
  <si>
    <t>R71</t>
  </si>
  <si>
    <t>C.1</t>
  </si>
  <si>
    <t>C.1. Việc phát hiện hành vi tham nhũng</t>
  </si>
  <si>
    <t>R72</t>
  </si>
  <si>
    <t>C.1.1</t>
  </si>
  <si>
    <t>C.1.1. Kết quả phát hiện hành vi tham nhũng qua kiểm tra, thanh tra, giám sát</t>
  </si>
  <si>
    <t>R73</t>
  </si>
  <si>
    <t>C.1.2</t>
  </si>
  <si>
    <t>C.1.2. Kết quả phát hiện hành vi tham nhũng qua phản ánh,tố cáo</t>
  </si>
  <si>
    <t>R74</t>
  </si>
  <si>
    <t>C.1.3</t>
  </si>
  <si>
    <t>C.1.3. Kết quả phát hiện hành vi tham nhũng qua điều tra, truy tố, xét xử</t>
  </si>
  <si>
    <t>R75</t>
  </si>
  <si>
    <t>C.2</t>
  </si>
  <si>
    <t>C.2. Việc xử lý tham nhũng</t>
  </si>
  <si>
    <t>R76</t>
  </si>
  <si>
    <t>C.2.1</t>
  </si>
  <si>
    <t>C.2.1. Kết quả xử lý kỷ luật đối với tổ chức, cá nhân do để xảy ra TN</t>
  </si>
  <si>
    <t>R77</t>
  </si>
  <si>
    <t>C.2.1.1</t>
  </si>
  <si>
    <t>C.2.1.1. Kết quả xử lý kỷ luật đối với tổ chức do để xảy ra tham nhũng.</t>
  </si>
  <si>
    <t>R78</t>
  </si>
  <si>
    <t>C.2.1.2</t>
  </si>
  <si>
    <t>C.2.1.2. Kết quả xử lý kỷ luật hành chính đối với cá nhân có hành vi TN</t>
  </si>
  <si>
    <t>R79</t>
  </si>
  <si>
    <t>C.2.2</t>
  </si>
  <si>
    <t>C.2.2. Kết quả xử lý hình sự người có hành vi tham nhũng</t>
  </si>
  <si>
    <t>R80</t>
  </si>
  <si>
    <t>C.2.2.1</t>
  </si>
  <si>
    <t>C.2.2.1. Kết quả xử lý qua điều tra</t>
  </si>
  <si>
    <t>R81</t>
  </si>
  <si>
    <t>C.2.2.2</t>
  </si>
  <si>
    <t>C.2.2.2. Kết quả xử lý qua truy tố</t>
  </si>
  <si>
    <t>R82</t>
  </si>
  <si>
    <t>C.2.2.3</t>
  </si>
  <si>
    <t>C.2.2.3. Kết quả xử lý qua xét xử</t>
  </si>
  <si>
    <t>R83</t>
  </si>
  <si>
    <t>C.2.3</t>
  </si>
  <si>
    <t>C.2.3. Kết quả xử lý trách nhiệm của người đứng đầu, cấp phó của người đứng đầu cơ quan, tổ chức, đơn vị căn cứ vào mức độ của vụ việc tham nhũng.</t>
  </si>
  <si>
    <t>R84</t>
  </si>
  <si>
    <t>C.2.3.1</t>
  </si>
  <si>
    <t>C.2.3.1. Hình thức khiển trách</t>
  </si>
  <si>
    <t>R85</t>
  </si>
  <si>
    <t>C.2.3.2</t>
  </si>
  <si>
    <t>C.2.3.2. Hình thức cảnh cáo</t>
  </si>
  <si>
    <t>R86</t>
  </si>
  <si>
    <t>C.2.3.3</t>
  </si>
  <si>
    <t>C.2.3.3. Hình thức cách chức</t>
  </si>
  <si>
    <t>R87</t>
  </si>
  <si>
    <t>C.3</t>
  </si>
  <si>
    <t>C.3. Kết quả xử lý hành vi khác vi phạm pháp luật về PCTN</t>
  </si>
  <si>
    <t>R88</t>
  </si>
  <si>
    <t>C.3.1</t>
  </si>
  <si>
    <t>C.3.1. Kết quả xử lý vi phạm trong thực hiện công khai minh bạch trong hoạt động của cơ quan, tổ chức đơn vị (Điều 81, Nghị định 59/2019/NĐ-CP)</t>
  </si>
  <si>
    <t>R89</t>
  </si>
  <si>
    <t>C.3.2</t>
  </si>
  <si>
    <t>C.3.2. Kết quả xử lý vi phạm quy định về chế độ, định mức, tiêu chuẩn (Điều 82, Nghị định 59/2019/NĐ-CP)</t>
  </si>
  <si>
    <t>R90</t>
  </si>
  <si>
    <t>C.3.3</t>
  </si>
  <si>
    <t>C.3.3. Kết quả xử lý vi phạm quy tắc ứng xử của người có chức vụ, quyền hạn trong cơ quan, tổ chức, đơn vị (Điều 83, Nghị định 59/2019/NĐ-CP)</t>
  </si>
  <si>
    <t>R91</t>
  </si>
  <si>
    <t>C.3.4</t>
  </si>
  <si>
    <t>C.3.4. Kết quả xử lý vi phạm quy định về xung đột lợi ích (Điều 84, Nghị định 59/2019/NĐ-CP)</t>
  </si>
  <si>
    <t>R92</t>
  </si>
  <si>
    <t>C.3.5</t>
  </si>
  <si>
    <t>C.3.5. Kết quả xử lý vi phạm quy định về chuyển đổi vị trí công tác (Khoản 2 - Điều 94 Luật PCTN)</t>
  </si>
  <si>
    <t>R93</t>
  </si>
  <si>
    <t>C.3.6</t>
  </si>
  <si>
    <t>C.3.6. Kết quả xử lý vi phạm quy định về báo cáo, xử lý báo cáo về hành vi tham nhũng (Điều 85, Nghị định 59/2019/NĐ-CP)</t>
  </si>
  <si>
    <t>R94</t>
  </si>
  <si>
    <t>C.3.7</t>
  </si>
  <si>
    <t>C.3.7. Kết quả xử lý hành vi vi phạm đối với người kê khai TSTN (Điều 20, Nghị định 130/2020/NĐ-CP)</t>
  </si>
  <si>
    <t>R95</t>
  </si>
  <si>
    <t>C.3.8</t>
  </si>
  <si>
    <t>C.3.8. Kết quả xử lý hành vi vi phạm khác trong kiểm soát TSTN (Điều 21, Nghị định 130/2020/NĐ-CP)</t>
  </si>
  <si>
    <t>R96</t>
  </si>
  <si>
    <t>D</t>
  </si>
  <si>
    <t>D. ĐÁNH GIÁ VIỆC THU HỒI TÀI SẢN THAM NHŨNG</t>
  </si>
  <si>
    <t>R97</t>
  </si>
  <si>
    <t>D.1</t>
  </si>
  <si>
    <t>D.1. Kết quả thu hồi tiền, tài sản tham nhũng qua công tác kiểm tra, giám sát, thanh tra, giải quyết đơn tố cáo, phản ánh</t>
  </si>
  <si>
    <t>R98</t>
  </si>
  <si>
    <t>D.1.1</t>
  </si>
  <si>
    <t>D.1.1. Kết quả thu hồi tiền, tài sản tham nhũng qua công tác kiểm tra, giám sát, thanh tra</t>
  </si>
  <si>
    <t>R99</t>
  </si>
  <si>
    <t>D.1.2</t>
  </si>
  <si>
    <t>D.1.2. Kết quả thu hồi tiền, tài sản tham nhũng qua công tác giải quyết đơn tố cáo, phản ánh</t>
  </si>
  <si>
    <t>R100</t>
  </si>
  <si>
    <t>D.2</t>
  </si>
  <si>
    <t>D.2. Kết quả thu hồi tiền, tài sản tham nhũng qua công tác điều tra, truy tố, xét xử, thi hành án</t>
  </si>
  <si>
    <t>R101</t>
  </si>
  <si>
    <t>D.2.1</t>
  </si>
  <si>
    <t>D.2.1. Kết quả thu hồi tiền, tài sản tham nhũng qua công tác điều tra, truy tố, xét xử</t>
  </si>
  <si>
    <t>R102</t>
  </si>
  <si>
    <t>D.2.2</t>
  </si>
  <si>
    <t>D.2.2. Kết quả thu hồi tiền, tài sản tham nhũng qua công tác thi hành án</t>
  </si>
  <si>
    <t>R103</t>
  </si>
  <si>
    <t>Đ</t>
  </si>
  <si>
    <t>Đ. ĐIỂM TRỪ CÔNG TÁC PCTN NĂM 2025</t>
  </si>
  <si>
    <t>R104</t>
  </si>
  <si>
    <t>ĐT.1</t>
  </si>
  <si>
    <t>ĐT.1. Việc chậm nộp báo cáo tự đánh giá công tác PCTN năm 2025</t>
  </si>
  <si>
    <t>R105</t>
  </si>
  <si>
    <t>ĐT.2</t>
  </si>
  <si>
    <t>ĐT.2. Tổ chức cấp tỉnh bị kỷ luật do để xảy ra tham nhũng, tiêu cực năm 2025</t>
  </si>
  <si>
    <t>R106</t>
  </si>
  <si>
    <t>ĐT.3</t>
  </si>
  <si>
    <t>ĐT.3. Người đứng đầu, cấp phó của người đứng đầu cấp tỉnh bị xử lý do để xảy ra tham nhũng, tiêu cực năm 2025</t>
  </si>
  <si>
    <t>MA_DON_VI</t>
  </si>
  <si>
    <t>TEN_DON_VI</t>
  </si>
  <si>
    <t>SO_DONG_CAN_NHAP</t>
  </si>
  <si>
    <t>SO_DONG_DA_NHAP</t>
  </si>
  <si>
    <t>SO_DONG_CO_MINH_CHUNG</t>
  </si>
  <si>
    <t>SO_DONG_CHUA_CO_MINH_CHUNG</t>
  </si>
  <si>
    <t>TY_LE_DA_NHAP</t>
  </si>
  <si>
    <t>TY_LE_DU_MINH_CHUNG</t>
  </si>
  <si>
    <t>SO_FILE_DA_UPLOAD</t>
  </si>
  <si>
    <t>CANH_BAO</t>
  </si>
  <si>
    <t>DS_MA_TC_CHUA_CO_MC</t>
  </si>
  <si>
    <t>DV01</t>
  </si>
  <si>
    <t>DV02</t>
  </si>
  <si>
    <t>DV03</t>
  </si>
  <si>
    <t>DV04</t>
  </si>
  <si>
    <t>DV05</t>
  </si>
  <si>
    <t>DV06</t>
  </si>
  <si>
    <t>DV07</t>
  </si>
  <si>
    <t>DV08</t>
  </si>
  <si>
    <t>DV09</t>
  </si>
  <si>
    <t>DV10</t>
  </si>
  <si>
    <t>DV11</t>
  </si>
  <si>
    <t>DV12</t>
  </si>
  <si>
    <t>DV13</t>
  </si>
  <si>
    <t>DV14</t>
  </si>
  <si>
    <t>DV15</t>
  </si>
  <si>
    <t>DV16</t>
  </si>
  <si>
    <t>TEN_TIEU_CHI</t>
  </si>
  <si>
    <t>NOI_DUNG_DA_NHAP</t>
  </si>
  <si>
    <t>SO_FILE_UPLOAD</t>
  </si>
  <si>
    <t>TEN_FOLDER_DRIVE</t>
  </si>
  <si>
    <t>LINK_THU_MUC_DRIVE</t>
  </si>
  <si>
    <t>DV01_VanPhong_UBND_tinh</t>
  </si>
  <si>
    <t>https://drive.google.com/drive/folders/1hsz0Aa0ULK1UtLKQh_g5tNXdg94-WCaJ</t>
  </si>
  <si>
    <t>DV02_So_Tai_chinh</t>
  </si>
  <si>
    <t>https://drive.google.com/drive/folders/1riNtH7lfdBB0buPuCIEgiGZlr3kDz9Ee</t>
  </si>
  <si>
    <t>DV03_So_Nong_nghiep_va_Moi_truong</t>
  </si>
  <si>
    <t>https://drive.google.com/drive/folders/1pCFapIIqtoPqcoV8Cs_Snujs3y-RB_nd</t>
  </si>
  <si>
    <t>DV04_So_Xay_dung</t>
  </si>
  <si>
    <t>https://drive.google.com/drive/folders/11urXEHb_Dob_bC5OG0wc6vPW3sfAKcfm</t>
  </si>
  <si>
    <t>DV05_So_Tu_phap</t>
  </si>
  <si>
    <t>https://drive.google.com/drive/folders/13YcBM0P7OK2_cPfSytTNEy585KruY6UF</t>
  </si>
  <si>
    <t>DV06_So_Cong_thuong</t>
  </si>
  <si>
    <t>https://drive.google.com/drive/folders/10ZAafPKU2E2ChzEZsNtkhAD86THG8ziv</t>
  </si>
  <si>
    <t>DV07_So_Van_hoa_the_thao_va_Du_lich</t>
  </si>
  <si>
    <t>https://drive.google.com/drive/folders/1m540wro01LH-xHVm52OEfEO-PyJDOSL5</t>
  </si>
  <si>
    <t>DV08_So_Giao_duc_va_Dao_tao</t>
  </si>
  <si>
    <t>https://drive.google.com/drive/folders/1BoCjXx_glHc3ZVP8iSygo9mF7qLwtCmL</t>
  </si>
  <si>
    <t>DV09_So_Khoa_hoc_va_Cong_nghe</t>
  </si>
  <si>
    <t>https://drive.google.com/drive/folders/1Cj6VsKoh0twqPxE_Pv7z7vsQlTulfj5F</t>
  </si>
  <si>
    <t>DV10_So_Y_te</t>
  </si>
  <si>
    <t>https://drive.google.com/drive/folders/1FSBFLilxPI-HEkCiaa5cwz4jXq85cWBE</t>
  </si>
  <si>
    <t>DV11_So_Noi_vu</t>
  </si>
  <si>
    <t>https://drive.google.com/drive/folders/1Pqy0-uyVI9b-ZuFs49nKmUvXhmgIQDQa</t>
  </si>
  <si>
    <t>DV12_So_Ngoai_vu</t>
  </si>
  <si>
    <t>https://drive.google.com/drive/folders/1EKfpUlLt6SxG5pW_o3KRzWf-zNzpiy7_</t>
  </si>
  <si>
    <t>DV13_Thanh_tra_tinh</t>
  </si>
  <si>
    <t>https://drive.google.com/drive/folders/1sh4Z2zPSUzro5T8zoeRHSnzczrvEtJUr</t>
  </si>
  <si>
    <t>DV14_So_Dan_toc_va_Ton_giao</t>
  </si>
  <si>
    <t>https://drive.google.com/drive/folders/15uaG9mD3dmnyg9K-AaBY1Spn3CZH6nEx</t>
  </si>
  <si>
    <t>DV15_Ban_Quan_ly_KKTNS_va_Cac_KCN</t>
  </si>
  <si>
    <t>https://drive.google.com/drive/folders/1msX7Xu6A2WBj9tOP-ean_yOiAeT9ZVmq</t>
  </si>
  <si>
    <t>DV16_Vien_quy_hoach_kien_truc_Thanh_Hoa</t>
  </si>
  <si>
    <t>https://drive.google.com/drive/folders/1RKIYgf4AvyfcmyELAca5XbqLwuSp_mIs</t>
  </si>
  <si>
    <t>TIMESTAMP</t>
  </si>
  <si>
    <t>NGUOI_NHAP</t>
  </si>
  <si>
    <t>DIEN_THOAI</t>
  </si>
  <si>
    <t>EMAIL</t>
  </si>
  <si>
    <t>SO_LIEU_MINH_CHUNG</t>
  </si>
  <si>
    <t>TRANG_THAI_GUI</t>
  </si>
  <si>
    <t>d</t>
  </si>
  <si>
    <t>Đã gửi</t>
  </si>
  <si>
    <t>FILE_NAME</t>
  </si>
  <si>
    <t>FILE_URL</t>
  </si>
  <si>
    <t>FILE_ID</t>
  </si>
  <si>
    <t>MIME_TYPE</t>
  </si>
  <si>
    <t>FILE_SIZE</t>
  </si>
  <si>
    <t>FOLDER_NAME</t>
  </si>
  <si>
    <t>FOLDER_URL</t>
  </si>
  <si>
    <t>TRANG_THAI</t>
  </si>
  <si>
    <t>DV13_A-1-2_20260416_144738_BC tham dự lớp bồi dưỡng theo CV1371.pdf</t>
  </si>
  <si>
    <t>https://drive.google.com/file/d/1qjewhK1MLO9m8VU87mfdgn0x7WrsahIk/view?usp=drivesdk</t>
  </si>
  <si>
    <t>1qjewhK1MLO9m8VU87mfdgn0x7WrsahIk</t>
  </si>
  <si>
    <t>application/pdf</t>
  </si>
  <si>
    <t>A-1-2</t>
  </si>
  <si>
    <t>https://drive.google.com/drive/folders/19aXF_QPg3M-RX67gnVV1Vum72zDtv5rO</t>
  </si>
  <si>
    <t>ACTIVE</t>
  </si>
  <si>
    <t>TÀI LIỆU NỀN PACA 2025 - BẢN CẬP NHẬT DANH SÁCH 16 ĐƠN VỊ</t>
  </si>
  <si>
    <t>1. Sheet DM_TIEU_CHI đã đồng bộ với file HTML hiện hành.</t>
  </si>
  <si>
    <t>2. Dòng nào CO_NHAP_LIEU = Không thì chỉ là tiêu đề, không nhập.</t>
  </si>
  <si>
    <t>3. Sheet PL4_TONG_HOP dùng để tổng hợp theo cột đơn vị.</t>
  </si>
  <si>
    <t>4. Sheet FORM_DATA lưu từng lần gửi từ Web App.</t>
  </si>
  <si>
    <t>5. HTML mới có chức năng Gửi dữ liệu và Lấy dữ liệu đã nhập trước đó.</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</si>
</sst>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yy h:mm:ss"/>
  </numFmts>
  <fonts count="13">
    <font>
      <sz val="11.0"/>
      <color rgb="FF000000"/>
      <name val="Carlito"/>
      <scheme val="minor"/>
    </font>
    <font>
      <b/>
      <sz val="10.0"/>
      <color rgb="FFFFFFFF"/>
      <name val="Calibri"/>
    </font>
    <font>
      <b/>
      <sz val="12.0"/>
      <color rgb="FFFFFFFF"/>
      <name val="Calibri"/>
    </font>
    <font>
      <sz val="10.0"/>
      <color theme="1"/>
      <name val="Calibri"/>
    </font>
    <font>
      <b/>
      <sz val="12.0"/>
      <color theme="1"/>
      <name val="Calibri"/>
    </font>
    <font>
      <sz val="12.0"/>
      <color theme="1"/>
      <name val="Calibri"/>
    </font>
    <font>
      <sz val="12.0"/>
      <color theme="1"/>
      <name val="Carlito"/>
      <scheme val="minor"/>
    </font>
    <font>
      <b/>
      <color theme="1"/>
      <name val="Carlito"/>
      <scheme val="minor"/>
    </font>
    <font>
      <sz val="12.0"/>
      <color theme="1"/>
      <name val="Carlito"/>
    </font>
    <font>
      <sz val="11.0"/>
      <color theme="1"/>
      <name val="Carlito"/>
    </font>
    <font>
      <color theme="1"/>
      <name val="Carlito"/>
      <scheme val="minor"/>
    </font>
    <font>
      <u/>
      <sz val="10.0"/>
      <color rgb="FF0000FF"/>
      <name val="Calibri"/>
    </font>
    <font>
      <u/>
      <color rgb="FF0000FF"/>
    </font>
  </fonts>
  <fills count="5">
    <fill>
      <patternFill patternType="none"/>
    </fill>
    <fill>
      <patternFill patternType="lightGray"/>
    </fill>
    <fill>
      <patternFill patternType="solid">
        <fgColor theme="4"/>
        <bgColor theme="4"/>
      </patternFill>
    </fill>
    <fill>
      <patternFill patternType="solid">
        <fgColor rgb="FFF3F4F6"/>
        <bgColor rgb="FFF3F4F6"/>
      </patternFill>
    </fill>
    <fill>
      <patternFill patternType="solid">
        <fgColor rgb="FFD9EAF7"/>
        <bgColor rgb="FFD9EAF7"/>
      </patternFill>
    </fill>
  </fills>
  <borders count="3">
    <border/>
    <border>
      <left style="thin">
        <color rgb="FFD1D5DB"/>
      </left>
      <right style="thin">
        <color rgb="FFD1D5DB"/>
      </right>
      <top style="thin">
        <color rgb="FFD1D5DB"/>
      </top>
      <bottom style="thin">
        <color rgb="FFD1D5DB"/>
      </bottom>
    </border>
    <border>
      <left style="thin">
        <color rgb="FFD0D7DE"/>
      </left>
      <right style="thin">
        <color rgb="FFD0D7DE"/>
      </right>
      <top style="thin">
        <color rgb="FFD0D7DE"/>
      </top>
      <bottom style="thin">
        <color rgb="FFD0D7DE"/>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3" fontId="3" numFmtId="0" xfId="0" applyAlignment="1" applyBorder="1" applyFill="1" applyFont="1">
      <alignment shrinkToFit="0" vertical="center" wrapText="1"/>
    </xf>
    <xf borderId="1" fillId="3" fontId="4" numFmtId="0" xfId="0" applyAlignment="1" applyBorder="1" applyFont="1">
      <alignment shrinkToFit="0" vertical="center" wrapText="1"/>
    </xf>
    <xf borderId="1" fillId="3" fontId="5" numFmtId="0" xfId="0" applyAlignment="1" applyBorder="1" applyFont="1">
      <alignment shrinkToFit="0" vertical="center" wrapText="1"/>
    </xf>
    <xf borderId="1" fillId="0" fontId="3" numFmtId="0" xfId="0" applyAlignment="1" applyBorder="1" applyFont="1">
      <alignment shrinkToFit="0" vertical="center" wrapText="1"/>
    </xf>
    <xf borderId="1" fillId="0" fontId="5" numFmtId="0" xfId="0" applyAlignment="1" applyBorder="1" applyFont="1">
      <alignment shrinkToFit="0" vertical="center" wrapText="1"/>
    </xf>
    <xf borderId="1" fillId="0" fontId="3" numFmtId="0" xfId="0" applyAlignment="1" applyBorder="1" applyFont="1">
      <alignment readingOrder="0" shrinkToFit="0" vertical="center" wrapText="1"/>
    </xf>
    <xf borderId="0" fillId="0" fontId="6" numFmtId="0" xfId="0" applyFont="1"/>
    <xf borderId="0" fillId="0" fontId="6" numFmtId="0" xfId="0" applyAlignment="1" applyFont="1">
      <alignment shrinkToFit="0" wrapText="1"/>
    </xf>
    <xf borderId="2" fillId="4" fontId="7" numFmtId="0" xfId="0" applyAlignment="1" applyBorder="1" applyFill="1" applyFont="1">
      <alignment shrinkToFit="0" vertical="top" wrapText="1"/>
    </xf>
    <xf borderId="2" fillId="0" fontId="5" numFmtId="0" xfId="0" applyAlignment="1" applyBorder="1" applyFont="1">
      <alignment shrinkToFit="0" vertical="top" wrapText="1"/>
    </xf>
    <xf borderId="2" fillId="0" fontId="5" numFmtId="164" xfId="0" applyAlignment="1" applyBorder="1" applyFont="1" applyNumberFormat="1">
      <alignment shrinkToFit="0" vertical="top" wrapText="1"/>
    </xf>
    <xf borderId="2" fillId="0" fontId="8" numFmtId="0" xfId="0" applyAlignment="1" applyBorder="1" applyFont="1">
      <alignment shrinkToFit="0" vertical="top" wrapText="1"/>
    </xf>
    <xf borderId="2" fillId="0" fontId="8" numFmtId="164" xfId="0" applyAlignment="1" applyBorder="1" applyFont="1" applyNumberFormat="1">
      <alignment shrinkToFit="0" vertical="top" wrapText="1"/>
    </xf>
    <xf borderId="2" fillId="0" fontId="9" numFmtId="0" xfId="0" applyAlignment="1" applyBorder="1" applyFont="1">
      <alignment shrinkToFit="0" vertical="top" wrapText="1"/>
    </xf>
    <xf borderId="0" fillId="0" fontId="9" numFmtId="0" xfId="0" applyAlignment="1" applyFont="1">
      <alignment shrinkToFit="0" vertical="top" wrapText="1"/>
    </xf>
    <xf borderId="0" fillId="0" fontId="10" numFmtId="0" xfId="0" applyAlignment="1" applyFont="1">
      <alignment shrinkToFit="0" wrapText="1"/>
    </xf>
    <xf borderId="1" fillId="0" fontId="11" numFmtId="0" xfId="0" applyAlignment="1" applyBorder="1" applyFont="1">
      <alignment readingOrder="0" shrinkToFit="0" vertical="center" wrapText="1"/>
    </xf>
    <xf borderId="1" fillId="0" fontId="3" numFmtId="14" xfId="0" applyAlignment="1" applyBorder="1" applyFont="1" applyNumberFormat="1">
      <alignment readingOrder="0" shrinkToFit="0" vertical="center" wrapText="1"/>
    </xf>
    <xf borderId="1" fillId="0" fontId="3" numFmtId="0" xfId="0" applyAlignment="1" applyBorder="1" applyFont="1">
      <alignment readingOrder="0" shrinkToFit="0" vertical="center" wrapText="1"/>
    </xf>
    <xf borderId="2" fillId="4" fontId="7" numFmtId="0" xfId="0" applyAlignment="1" applyBorder="1" applyFont="1">
      <alignment horizontal="center" shrinkToFit="0" vertical="center" wrapText="1"/>
    </xf>
    <xf borderId="0" fillId="0" fontId="10" numFmtId="165" xfId="0" applyAlignment="1" applyFont="1" applyNumberFormat="1">
      <alignment readingOrder="0"/>
    </xf>
    <xf borderId="0" fillId="0" fontId="10" numFmtId="0" xfId="0" applyAlignment="1" applyFont="1">
      <alignment readingOrder="0"/>
    </xf>
    <xf borderId="0" fillId="0" fontId="12" numFmtId="0" xfId="0" applyAlignment="1" applyFont="1">
      <alignment readingOrder="0"/>
    </xf>
    <xf borderId="0" fillId="0" fontId="10" numFmtId="0" xfId="0" applyAlignment="1" applyFont="1">
      <alignment readingOrder="0"/>
    </xf>
    <xf borderId="0" fillId="0" fontId="10" numFmtId="0" xfId="0" applyFont="1"/>
  </cellXfs>
  <cellStyles count="1">
    <cellStyle xfId="0" name="Normal" builtinId="0"/>
  </cellStyles>
  <dxfs count="4">
    <dxf>
      <font>
        <b/>
        <color rgb="FF9C6500"/>
      </font>
      <fill>
        <patternFill patternType="solid">
          <fgColor rgb="FFFFF2CC"/>
          <bgColor rgb="FFFFF2CC"/>
        </patternFill>
      </fill>
      <border/>
    </dxf>
    <dxf>
      <font>
        <b/>
        <color rgb="FF006100"/>
      </font>
      <fill>
        <patternFill patternType="solid">
          <fgColor rgb="FFE2F0D9"/>
          <bgColor rgb="FFE2F0D9"/>
        </patternFill>
      </fill>
      <border/>
    </dxf>
    <dxf>
      <font>
        <b/>
        <color rgb="FFC00000"/>
      </font>
      <fill>
        <patternFill patternType="solid">
          <fgColor rgb="FFFDE9E7"/>
          <bgColor rgb="FFFDE9E7"/>
        </patternFill>
      </fill>
      <border/>
    </dxf>
    <dxf>
      <font>
        <color rgb="FF006100"/>
      </font>
      <fill>
        <patternFill patternType="solid">
          <fgColor rgb="FFE2F0D9"/>
          <bgColor rgb="FFE2F0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sh4Z2zPSUzro5T8zoeRHSnzczrvEtJUr"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qjewhK1MLO9m8VU87mfdgn0x7WrsahIk/view?usp=drivesdk" TargetMode="External"/><Relationship Id="rId2" Type="http://schemas.openxmlformats.org/officeDocument/2006/relationships/hyperlink" Target="https://drive.google.com/drive/folders/19aXF_QPg3M-RX67gnVV1Vum72zDtv5rO"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hidden="1" min="1" max="1" width="6.88"/>
    <col customWidth="1" min="2" max="2" width="10.63"/>
    <col customWidth="1" min="3" max="3" width="61.0"/>
    <col customWidth="1" hidden="1" min="4" max="4" width="11.0"/>
    <col customWidth="1" hidden="1" min="5" max="5" width="11.75"/>
    <col customWidth="1" min="6" max="6" width="16.0"/>
    <col customWidth="1" min="7" max="7" width="9.38"/>
    <col customWidth="1" min="8" max="8" width="22.5"/>
    <col customWidth="1" min="9" max="9" width="9.75"/>
    <col customWidth="1" min="10" max="10" width="8.88"/>
    <col customWidth="1" min="11" max="11" width="12.38"/>
    <col customWidth="1" min="12" max="12" width="22.13"/>
    <col customWidth="1" min="13" max="13" width="17.0"/>
    <col customWidth="1" min="14" max="14" width="19.25"/>
    <col customWidth="1" min="15" max="15" width="5.88"/>
    <col customWidth="1" min="16" max="16" width="7.63"/>
    <col customWidth="1" min="17" max="17" width="9.25"/>
    <col customWidth="1" min="18" max="18" width="10.88"/>
    <col customWidth="1" min="19" max="19" width="16.63"/>
    <col customWidth="1" min="20" max="20" width="22.25"/>
    <col customWidth="1" min="21" max="21" width="26.0"/>
    <col customWidth="1" min="22" max="26" width="8.63"/>
  </cols>
  <sheetData>
    <row r="1">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3" t="s">
        <v>21</v>
      </c>
      <c r="B2" s="4" t="s">
        <v>22</v>
      </c>
      <c r="C2" s="4" t="s">
        <v>23</v>
      </c>
      <c r="D2" s="3">
        <v>1.0</v>
      </c>
      <c r="E2" s="3" t="s">
        <v>24</v>
      </c>
      <c r="F2" s="3"/>
      <c r="G2" s="3"/>
      <c r="H2" s="3"/>
      <c r="I2" s="3"/>
      <c r="J2" s="3"/>
      <c r="K2" s="3"/>
      <c r="L2" s="3"/>
      <c r="M2" s="3"/>
      <c r="N2" s="3"/>
      <c r="O2" s="3"/>
      <c r="P2" s="3"/>
      <c r="Q2" s="3"/>
      <c r="R2" s="3"/>
      <c r="S2" s="3"/>
      <c r="T2" s="3"/>
      <c r="U2" s="3"/>
    </row>
    <row r="3">
      <c r="A3" s="3" t="s">
        <v>25</v>
      </c>
      <c r="B3" s="5" t="s">
        <v>26</v>
      </c>
      <c r="C3" s="5" t="s">
        <v>27</v>
      </c>
      <c r="D3" s="3">
        <v>2.0</v>
      </c>
      <c r="E3" s="3" t="s">
        <v>24</v>
      </c>
      <c r="F3" s="3"/>
      <c r="G3" s="3"/>
      <c r="H3" s="3"/>
      <c r="I3" s="3"/>
      <c r="J3" s="3"/>
      <c r="K3" s="3"/>
      <c r="L3" s="3"/>
      <c r="M3" s="3"/>
      <c r="N3" s="3"/>
      <c r="O3" s="3"/>
      <c r="P3" s="3"/>
      <c r="Q3" s="3"/>
      <c r="R3" s="3"/>
      <c r="S3" s="3"/>
      <c r="T3" s="3"/>
      <c r="U3" s="3"/>
    </row>
    <row r="4">
      <c r="A4" s="3" t="s">
        <v>28</v>
      </c>
      <c r="B4" s="5" t="s">
        <v>29</v>
      </c>
      <c r="C4" s="5" t="s">
        <v>30</v>
      </c>
      <c r="D4" s="3">
        <v>3.0</v>
      </c>
      <c r="E4" s="3" t="s">
        <v>24</v>
      </c>
      <c r="F4" s="3"/>
      <c r="G4" s="3"/>
      <c r="H4" s="3"/>
      <c r="I4" s="3"/>
      <c r="J4" s="3"/>
      <c r="K4" s="3"/>
      <c r="L4" s="3"/>
      <c r="M4" s="3"/>
      <c r="N4" s="3"/>
      <c r="O4" s="3"/>
      <c r="P4" s="3"/>
      <c r="Q4" s="3"/>
      <c r="R4" s="3"/>
      <c r="S4" s="3"/>
      <c r="T4" s="3"/>
      <c r="U4" s="3"/>
    </row>
    <row r="5">
      <c r="A5" s="3" t="s">
        <v>31</v>
      </c>
      <c r="B5" s="5" t="s">
        <v>32</v>
      </c>
      <c r="C5" s="5" t="s">
        <v>33</v>
      </c>
      <c r="D5" s="3">
        <v>4.0</v>
      </c>
      <c r="E5" s="3" t="s">
        <v>24</v>
      </c>
      <c r="F5" s="3"/>
      <c r="G5" s="3"/>
      <c r="H5" s="3"/>
      <c r="I5" s="3"/>
      <c r="J5" s="3"/>
      <c r="K5" s="3"/>
      <c r="L5" s="3"/>
      <c r="M5" s="3"/>
      <c r="N5" s="3"/>
      <c r="O5" s="3"/>
      <c r="P5" s="3"/>
      <c r="Q5" s="3"/>
      <c r="R5" s="3"/>
      <c r="S5" s="3"/>
      <c r="T5" s="3"/>
      <c r="U5" s="3"/>
    </row>
    <row r="6">
      <c r="A6" s="3" t="s">
        <v>34</v>
      </c>
      <c r="B6" s="5" t="s">
        <v>35</v>
      </c>
      <c r="C6" s="5" t="s">
        <v>36</v>
      </c>
      <c r="D6" s="3">
        <v>4.0</v>
      </c>
      <c r="E6" s="3" t="s">
        <v>24</v>
      </c>
      <c r="F6" s="3"/>
      <c r="G6" s="3"/>
      <c r="H6" s="3"/>
      <c r="I6" s="3"/>
      <c r="J6" s="3"/>
      <c r="K6" s="3"/>
      <c r="L6" s="3"/>
      <c r="M6" s="3"/>
      <c r="N6" s="3"/>
      <c r="O6" s="3"/>
      <c r="P6" s="3"/>
      <c r="Q6" s="3"/>
      <c r="R6" s="3"/>
      <c r="S6" s="3"/>
      <c r="T6" s="3"/>
      <c r="U6" s="3"/>
    </row>
    <row r="7">
      <c r="A7" s="3" t="s">
        <v>37</v>
      </c>
      <c r="B7" s="5" t="s">
        <v>38</v>
      </c>
      <c r="C7" s="5" t="s">
        <v>39</v>
      </c>
      <c r="D7" s="3">
        <v>4.0</v>
      </c>
      <c r="E7" s="3" t="s">
        <v>24</v>
      </c>
      <c r="F7" s="3"/>
      <c r="G7" s="3"/>
      <c r="H7" s="3"/>
      <c r="I7" s="3"/>
      <c r="J7" s="3"/>
      <c r="K7" s="3"/>
      <c r="L7" s="3"/>
      <c r="M7" s="3"/>
      <c r="N7" s="3"/>
      <c r="O7" s="3"/>
      <c r="P7" s="3"/>
      <c r="Q7" s="3"/>
      <c r="R7" s="3"/>
      <c r="S7" s="3"/>
      <c r="T7" s="3"/>
      <c r="U7" s="3"/>
    </row>
    <row r="8">
      <c r="A8" s="3" t="s">
        <v>40</v>
      </c>
      <c r="B8" s="5" t="s">
        <v>41</v>
      </c>
      <c r="C8" s="5" t="s">
        <v>42</v>
      </c>
      <c r="D8" s="3">
        <v>4.0</v>
      </c>
      <c r="E8" s="3" t="s">
        <v>24</v>
      </c>
      <c r="F8" s="3"/>
      <c r="G8" s="3"/>
      <c r="H8" s="3"/>
      <c r="I8" s="3"/>
      <c r="J8" s="3"/>
      <c r="K8" s="3"/>
      <c r="L8" s="3"/>
      <c r="M8" s="3"/>
      <c r="N8" s="3"/>
      <c r="O8" s="3"/>
      <c r="P8" s="3"/>
      <c r="Q8" s="3"/>
      <c r="R8" s="3"/>
      <c r="S8" s="3"/>
      <c r="T8" s="3"/>
      <c r="U8" s="3"/>
    </row>
    <row r="9">
      <c r="A9" s="3" t="s">
        <v>43</v>
      </c>
      <c r="B9" s="5" t="s">
        <v>44</v>
      </c>
      <c r="C9" s="5" t="s">
        <v>45</v>
      </c>
      <c r="D9" s="3">
        <v>4.0</v>
      </c>
      <c r="E9" s="3" t="s">
        <v>24</v>
      </c>
      <c r="F9" s="3"/>
      <c r="G9" s="3"/>
      <c r="H9" s="3"/>
      <c r="I9" s="3"/>
      <c r="J9" s="3"/>
      <c r="K9" s="3"/>
      <c r="L9" s="3"/>
      <c r="M9" s="3"/>
      <c r="N9" s="3"/>
      <c r="O9" s="3"/>
      <c r="P9" s="3"/>
      <c r="Q9" s="3"/>
      <c r="R9" s="3"/>
      <c r="S9" s="3"/>
      <c r="T9" s="3"/>
      <c r="U9" s="3"/>
    </row>
    <row r="10">
      <c r="A10" s="6" t="s">
        <v>46</v>
      </c>
      <c r="B10" s="7" t="s">
        <v>47</v>
      </c>
      <c r="C10" s="7" t="s">
        <v>48</v>
      </c>
      <c r="D10" s="6">
        <v>3.0</v>
      </c>
      <c r="E10" s="6" t="s">
        <v>49</v>
      </c>
      <c r="F10" s="6"/>
      <c r="G10" s="6"/>
      <c r="H10" s="6"/>
      <c r="I10" s="6"/>
      <c r="J10" s="6"/>
      <c r="K10" s="6"/>
      <c r="L10" s="6"/>
      <c r="M10" s="6"/>
      <c r="N10" s="6"/>
      <c r="O10" s="6"/>
      <c r="P10" s="6"/>
      <c r="Q10" s="6"/>
      <c r="R10" s="8" t="s">
        <v>50</v>
      </c>
      <c r="S10" s="6"/>
      <c r="T10" s="6"/>
      <c r="U10" s="6"/>
    </row>
    <row r="11">
      <c r="A11" s="3" t="s">
        <v>51</v>
      </c>
      <c r="B11" s="5" t="s">
        <v>52</v>
      </c>
      <c r="C11" s="5" t="s">
        <v>53</v>
      </c>
      <c r="D11" s="3">
        <v>3.0</v>
      </c>
      <c r="E11" s="3" t="s">
        <v>24</v>
      </c>
      <c r="F11" s="3"/>
      <c r="G11" s="3"/>
      <c r="H11" s="3"/>
      <c r="I11" s="3"/>
      <c r="J11" s="3"/>
      <c r="K11" s="3"/>
      <c r="L11" s="3"/>
      <c r="M11" s="3"/>
      <c r="N11" s="3"/>
      <c r="O11" s="3"/>
      <c r="P11" s="3"/>
      <c r="Q11" s="3"/>
      <c r="R11" s="3"/>
      <c r="S11" s="3"/>
      <c r="T11" s="3"/>
      <c r="U11" s="3"/>
    </row>
    <row r="12">
      <c r="A12" s="3" t="s">
        <v>54</v>
      </c>
      <c r="B12" s="5" t="s">
        <v>55</v>
      </c>
      <c r="C12" s="5" t="s">
        <v>56</v>
      </c>
      <c r="D12" s="3">
        <v>4.0</v>
      </c>
      <c r="E12" s="3" t="s">
        <v>24</v>
      </c>
      <c r="F12" s="3"/>
      <c r="G12" s="3"/>
      <c r="H12" s="3"/>
      <c r="I12" s="3"/>
      <c r="J12" s="3"/>
      <c r="K12" s="3"/>
      <c r="L12" s="3"/>
      <c r="M12" s="3"/>
      <c r="N12" s="3"/>
      <c r="O12" s="3"/>
      <c r="P12" s="3"/>
      <c r="Q12" s="3"/>
      <c r="R12" s="3"/>
      <c r="S12" s="3"/>
      <c r="T12" s="3"/>
      <c r="U12" s="3"/>
    </row>
    <row r="13">
      <c r="A13" s="3" t="s">
        <v>57</v>
      </c>
      <c r="B13" s="5" t="s">
        <v>58</v>
      </c>
      <c r="C13" s="5" t="s">
        <v>59</v>
      </c>
      <c r="D13" s="3">
        <v>4.0</v>
      </c>
      <c r="E13" s="3" t="s">
        <v>24</v>
      </c>
      <c r="F13" s="3"/>
      <c r="G13" s="3"/>
      <c r="H13" s="3"/>
      <c r="I13" s="3"/>
      <c r="J13" s="3"/>
      <c r="K13" s="3"/>
      <c r="L13" s="3"/>
      <c r="M13" s="3"/>
      <c r="N13" s="3"/>
      <c r="O13" s="3"/>
      <c r="P13" s="3"/>
      <c r="Q13" s="3"/>
      <c r="R13" s="3"/>
      <c r="S13" s="3"/>
      <c r="T13" s="3"/>
      <c r="U13" s="3"/>
    </row>
    <row r="14">
      <c r="A14" s="3" t="s">
        <v>60</v>
      </c>
      <c r="B14" s="5" t="s">
        <v>61</v>
      </c>
      <c r="C14" s="5" t="s">
        <v>62</v>
      </c>
      <c r="D14" s="3">
        <v>4.0</v>
      </c>
      <c r="E14" s="3" t="s">
        <v>24</v>
      </c>
      <c r="F14" s="3"/>
      <c r="G14" s="3"/>
      <c r="H14" s="3"/>
      <c r="I14" s="3"/>
      <c r="J14" s="3"/>
      <c r="K14" s="3"/>
      <c r="L14" s="3"/>
      <c r="M14" s="3"/>
      <c r="N14" s="3"/>
      <c r="O14" s="3"/>
      <c r="P14" s="3"/>
      <c r="Q14" s="3"/>
      <c r="R14" s="3"/>
      <c r="S14" s="3"/>
      <c r="T14" s="3"/>
      <c r="U14" s="3"/>
    </row>
    <row r="15">
      <c r="A15" s="3" t="s">
        <v>63</v>
      </c>
      <c r="B15" s="5" t="s">
        <v>64</v>
      </c>
      <c r="C15" s="5" t="s">
        <v>65</v>
      </c>
      <c r="D15" s="3">
        <v>4.0</v>
      </c>
      <c r="E15" s="3" t="s">
        <v>24</v>
      </c>
      <c r="F15" s="3"/>
      <c r="G15" s="3"/>
      <c r="H15" s="3"/>
      <c r="I15" s="3"/>
      <c r="J15" s="3"/>
      <c r="K15" s="3"/>
      <c r="L15" s="3"/>
      <c r="M15" s="3"/>
      <c r="N15" s="3"/>
      <c r="O15" s="3"/>
      <c r="P15" s="3"/>
      <c r="Q15" s="3"/>
      <c r="R15" s="3"/>
      <c r="S15" s="3"/>
      <c r="T15" s="3"/>
      <c r="U15" s="3"/>
    </row>
    <row r="16">
      <c r="A16" s="3" t="s">
        <v>66</v>
      </c>
      <c r="B16" s="5" t="s">
        <v>67</v>
      </c>
      <c r="C16" s="5" t="s">
        <v>68</v>
      </c>
      <c r="D16" s="3">
        <v>4.0</v>
      </c>
      <c r="E16" s="3" t="s">
        <v>24</v>
      </c>
      <c r="F16" s="3"/>
      <c r="G16" s="3"/>
      <c r="H16" s="3"/>
      <c r="I16" s="3"/>
      <c r="J16" s="3"/>
      <c r="K16" s="3"/>
      <c r="L16" s="3"/>
      <c r="M16" s="3"/>
      <c r="N16" s="3"/>
      <c r="O16" s="3"/>
      <c r="P16" s="3"/>
      <c r="Q16" s="3"/>
      <c r="R16" s="3"/>
      <c r="S16" s="3"/>
      <c r="T16" s="3"/>
      <c r="U16" s="3"/>
    </row>
    <row r="17">
      <c r="A17" s="3" t="s">
        <v>69</v>
      </c>
      <c r="B17" s="5" t="s">
        <v>70</v>
      </c>
      <c r="C17" s="5" t="s">
        <v>71</v>
      </c>
      <c r="D17" s="3">
        <v>4.0</v>
      </c>
      <c r="E17" s="3" t="s">
        <v>24</v>
      </c>
      <c r="F17" s="3"/>
      <c r="G17" s="3"/>
      <c r="H17" s="3"/>
      <c r="I17" s="3"/>
      <c r="J17" s="3"/>
      <c r="K17" s="3"/>
      <c r="L17" s="3"/>
      <c r="M17" s="3"/>
      <c r="N17" s="3"/>
      <c r="O17" s="3"/>
      <c r="P17" s="3"/>
      <c r="Q17" s="3"/>
      <c r="R17" s="3"/>
      <c r="S17" s="3"/>
      <c r="T17" s="3"/>
      <c r="U17" s="3"/>
    </row>
    <row r="18">
      <c r="A18" s="3" t="s">
        <v>72</v>
      </c>
      <c r="B18" s="5" t="s">
        <v>73</v>
      </c>
      <c r="C18" s="5" t="s">
        <v>74</v>
      </c>
      <c r="D18" s="3">
        <v>2.0</v>
      </c>
      <c r="E18" s="3" t="s">
        <v>24</v>
      </c>
      <c r="F18" s="3"/>
      <c r="G18" s="3"/>
      <c r="H18" s="3"/>
      <c r="I18" s="3"/>
      <c r="J18" s="3"/>
      <c r="K18" s="3"/>
      <c r="L18" s="3"/>
      <c r="M18" s="3"/>
      <c r="N18" s="3"/>
      <c r="O18" s="3"/>
      <c r="P18" s="3"/>
      <c r="Q18" s="3"/>
      <c r="R18" s="3"/>
      <c r="S18" s="3"/>
      <c r="T18" s="3"/>
      <c r="U18" s="3"/>
    </row>
    <row r="19">
      <c r="A19" s="3" t="s">
        <v>75</v>
      </c>
      <c r="B19" s="5" t="s">
        <v>76</v>
      </c>
      <c r="C19" s="5" t="s">
        <v>77</v>
      </c>
      <c r="D19" s="3">
        <v>3.0</v>
      </c>
      <c r="E19" s="3" t="s">
        <v>24</v>
      </c>
      <c r="F19" s="3"/>
      <c r="G19" s="3"/>
      <c r="H19" s="3"/>
      <c r="I19" s="3"/>
      <c r="J19" s="3"/>
      <c r="K19" s="3"/>
      <c r="L19" s="3"/>
      <c r="M19" s="3"/>
      <c r="N19" s="3"/>
      <c r="O19" s="3"/>
      <c r="P19" s="3"/>
      <c r="Q19" s="3"/>
      <c r="R19" s="3"/>
      <c r="S19" s="3"/>
      <c r="T19" s="3"/>
      <c r="U19" s="3"/>
    </row>
    <row r="20">
      <c r="A20" s="6" t="s">
        <v>78</v>
      </c>
      <c r="B20" s="7" t="s">
        <v>79</v>
      </c>
      <c r="C20" s="7" t="s">
        <v>80</v>
      </c>
      <c r="D20" s="6">
        <v>4.0</v>
      </c>
      <c r="E20" s="6" t="s">
        <v>49</v>
      </c>
      <c r="F20" s="6"/>
      <c r="G20" s="6"/>
      <c r="H20" s="6"/>
      <c r="I20" s="6"/>
      <c r="J20" s="6"/>
      <c r="K20" s="6"/>
      <c r="L20" s="6"/>
      <c r="M20" s="6"/>
      <c r="N20" s="6"/>
      <c r="O20" s="6"/>
      <c r="P20" s="6"/>
      <c r="Q20" s="6"/>
      <c r="R20" s="6"/>
      <c r="S20" s="6"/>
      <c r="T20" s="6"/>
      <c r="U20" s="6"/>
    </row>
    <row r="21" ht="15.75" customHeight="1">
      <c r="A21" s="6" t="s">
        <v>81</v>
      </c>
      <c r="B21" s="7" t="s">
        <v>82</v>
      </c>
      <c r="C21" s="7" t="s">
        <v>83</v>
      </c>
      <c r="D21" s="6">
        <v>4.0</v>
      </c>
      <c r="E21" s="6" t="s">
        <v>49</v>
      </c>
      <c r="F21" s="6"/>
      <c r="G21" s="6"/>
      <c r="H21" s="6"/>
      <c r="I21" s="6"/>
      <c r="J21" s="6"/>
      <c r="K21" s="6"/>
      <c r="L21" s="6"/>
      <c r="M21" s="6"/>
      <c r="N21" s="6"/>
      <c r="O21" s="6"/>
      <c r="P21" s="6"/>
      <c r="Q21" s="6"/>
      <c r="R21" s="6"/>
      <c r="S21" s="6"/>
      <c r="T21" s="6"/>
      <c r="U21" s="6"/>
    </row>
    <row r="22" ht="15.75" customHeight="1">
      <c r="A22" s="3" t="s">
        <v>84</v>
      </c>
      <c r="B22" s="5" t="s">
        <v>85</v>
      </c>
      <c r="C22" s="5" t="s">
        <v>86</v>
      </c>
      <c r="D22" s="3">
        <v>3.0</v>
      </c>
      <c r="E22" s="3" t="s">
        <v>24</v>
      </c>
      <c r="F22" s="3"/>
      <c r="G22" s="3"/>
      <c r="H22" s="3"/>
      <c r="I22" s="3"/>
      <c r="J22" s="3"/>
      <c r="K22" s="3"/>
      <c r="L22" s="3"/>
      <c r="M22" s="3"/>
      <c r="N22" s="3"/>
      <c r="O22" s="3"/>
      <c r="P22" s="3"/>
      <c r="Q22" s="3"/>
      <c r="R22" s="3"/>
      <c r="S22" s="3"/>
      <c r="T22" s="3"/>
      <c r="U22" s="3"/>
    </row>
    <row r="23" ht="15.75" customHeight="1">
      <c r="A23" s="6" t="s">
        <v>87</v>
      </c>
      <c r="B23" s="7" t="s">
        <v>88</v>
      </c>
      <c r="C23" s="7" t="s">
        <v>89</v>
      </c>
      <c r="D23" s="6">
        <v>4.0</v>
      </c>
      <c r="E23" s="6" t="s">
        <v>49</v>
      </c>
      <c r="F23" s="6"/>
      <c r="G23" s="6"/>
      <c r="H23" s="6"/>
      <c r="I23" s="6"/>
      <c r="J23" s="6"/>
      <c r="K23" s="6"/>
      <c r="L23" s="6"/>
      <c r="M23" s="6"/>
      <c r="N23" s="6"/>
      <c r="O23" s="6"/>
      <c r="P23" s="6"/>
      <c r="Q23" s="6"/>
      <c r="R23" s="6"/>
      <c r="S23" s="6"/>
      <c r="T23" s="6"/>
      <c r="U23" s="6"/>
    </row>
    <row r="24" ht="15.75" customHeight="1">
      <c r="A24" s="6" t="s">
        <v>90</v>
      </c>
      <c r="B24" s="7" t="s">
        <v>91</v>
      </c>
      <c r="C24" s="7" t="s">
        <v>92</v>
      </c>
      <c r="D24" s="6">
        <v>4.0</v>
      </c>
      <c r="E24" s="6" t="s">
        <v>49</v>
      </c>
      <c r="F24" s="6"/>
      <c r="G24" s="6"/>
      <c r="H24" s="6"/>
      <c r="I24" s="6"/>
      <c r="J24" s="6"/>
      <c r="K24" s="6"/>
      <c r="L24" s="6"/>
      <c r="M24" s="6"/>
      <c r="N24" s="6"/>
      <c r="O24" s="6"/>
      <c r="P24" s="6"/>
      <c r="Q24" s="6"/>
      <c r="R24" s="6"/>
      <c r="S24" s="6"/>
      <c r="T24" s="6"/>
      <c r="U24" s="6"/>
    </row>
    <row r="25" ht="15.75" customHeight="1">
      <c r="A25" s="6" t="s">
        <v>93</v>
      </c>
      <c r="B25" s="7" t="s">
        <v>85</v>
      </c>
      <c r="C25" s="7" t="s">
        <v>94</v>
      </c>
      <c r="D25" s="6">
        <v>3.0</v>
      </c>
      <c r="E25" s="6" t="s">
        <v>49</v>
      </c>
      <c r="F25" s="6"/>
      <c r="G25" s="6"/>
      <c r="H25" s="6"/>
      <c r="I25" s="6"/>
      <c r="J25" s="6"/>
      <c r="K25" s="6"/>
      <c r="L25" s="6"/>
      <c r="M25" s="6"/>
      <c r="N25" s="6"/>
      <c r="O25" s="6"/>
      <c r="P25" s="6"/>
      <c r="Q25" s="6"/>
      <c r="R25" s="6"/>
      <c r="S25" s="6"/>
      <c r="T25" s="6"/>
      <c r="U25" s="6"/>
    </row>
    <row r="26" ht="15.75" customHeight="1">
      <c r="A26" s="6" t="s">
        <v>95</v>
      </c>
      <c r="B26" s="7" t="s">
        <v>96</v>
      </c>
      <c r="C26" s="7" t="s">
        <v>97</v>
      </c>
      <c r="D26" s="6">
        <v>3.0</v>
      </c>
      <c r="E26" s="6" t="s">
        <v>49</v>
      </c>
      <c r="F26" s="6"/>
      <c r="G26" s="6"/>
      <c r="H26" s="6"/>
      <c r="I26" s="6"/>
      <c r="J26" s="6"/>
      <c r="K26" s="6"/>
      <c r="L26" s="6"/>
      <c r="M26" s="6"/>
      <c r="N26" s="6"/>
      <c r="O26" s="6"/>
      <c r="P26" s="6"/>
      <c r="Q26" s="6"/>
      <c r="R26" s="6"/>
      <c r="S26" s="6"/>
      <c r="T26" s="6"/>
      <c r="U26" s="6"/>
    </row>
    <row r="27" ht="15.75" customHeight="1">
      <c r="A27" s="6" t="s">
        <v>98</v>
      </c>
      <c r="B27" s="7" t="s">
        <v>99</v>
      </c>
      <c r="C27" s="7" t="s">
        <v>100</v>
      </c>
      <c r="D27" s="6">
        <v>3.0</v>
      </c>
      <c r="E27" s="6" t="s">
        <v>49</v>
      </c>
      <c r="F27" s="6"/>
      <c r="G27" s="6"/>
      <c r="H27" s="6"/>
      <c r="I27" s="6"/>
      <c r="J27" s="6"/>
      <c r="K27" s="6"/>
      <c r="L27" s="6"/>
      <c r="M27" s="6"/>
      <c r="N27" s="6"/>
      <c r="O27" s="6"/>
      <c r="P27" s="6"/>
      <c r="Q27" s="6"/>
      <c r="R27" s="6"/>
      <c r="S27" s="6"/>
      <c r="T27" s="6"/>
      <c r="U27" s="6"/>
    </row>
    <row r="28" ht="15.75" customHeight="1">
      <c r="A28" s="6" t="s">
        <v>101</v>
      </c>
      <c r="B28" s="7" t="s">
        <v>102</v>
      </c>
      <c r="C28" s="7" t="s">
        <v>103</v>
      </c>
      <c r="D28" s="6">
        <v>3.0</v>
      </c>
      <c r="E28" s="6" t="s">
        <v>49</v>
      </c>
      <c r="F28" s="6"/>
      <c r="G28" s="6"/>
      <c r="H28" s="6"/>
      <c r="I28" s="6"/>
      <c r="J28" s="6"/>
      <c r="K28" s="6"/>
      <c r="L28" s="6"/>
      <c r="M28" s="6"/>
      <c r="N28" s="6"/>
      <c r="O28" s="6"/>
      <c r="P28" s="6"/>
      <c r="Q28" s="6"/>
      <c r="R28" s="6"/>
      <c r="S28" s="6"/>
      <c r="T28" s="6"/>
      <c r="U28" s="6"/>
    </row>
    <row r="29" ht="15.75" customHeight="1">
      <c r="A29" s="3" t="s">
        <v>104</v>
      </c>
      <c r="B29" s="4" t="s">
        <v>105</v>
      </c>
      <c r="C29" s="4" t="s">
        <v>106</v>
      </c>
      <c r="D29" s="3">
        <v>1.0</v>
      </c>
      <c r="E29" s="3" t="s">
        <v>24</v>
      </c>
      <c r="F29" s="3"/>
      <c r="G29" s="3"/>
      <c r="H29" s="3"/>
      <c r="I29" s="3"/>
      <c r="J29" s="3"/>
      <c r="K29" s="3"/>
      <c r="L29" s="3"/>
      <c r="M29" s="3"/>
      <c r="N29" s="3"/>
      <c r="O29" s="3"/>
      <c r="P29" s="3"/>
      <c r="Q29" s="3"/>
      <c r="R29" s="3"/>
      <c r="S29" s="3"/>
      <c r="T29" s="3"/>
      <c r="U29" s="3"/>
    </row>
    <row r="30" ht="15.75" customHeight="1">
      <c r="A30" s="3" t="s">
        <v>107</v>
      </c>
      <c r="B30" s="5" t="s">
        <v>108</v>
      </c>
      <c r="C30" s="5" t="s">
        <v>109</v>
      </c>
      <c r="D30" s="3">
        <v>2.0</v>
      </c>
      <c r="E30" s="3" t="s">
        <v>24</v>
      </c>
      <c r="F30" s="3"/>
      <c r="G30" s="3"/>
      <c r="H30" s="3"/>
      <c r="I30" s="3"/>
      <c r="J30" s="3"/>
      <c r="K30" s="3"/>
      <c r="L30" s="3"/>
      <c r="M30" s="3"/>
      <c r="N30" s="3"/>
      <c r="O30" s="3"/>
      <c r="P30" s="3"/>
      <c r="Q30" s="3"/>
      <c r="R30" s="3"/>
      <c r="S30" s="3"/>
      <c r="T30" s="3"/>
      <c r="U30" s="3"/>
    </row>
    <row r="31" ht="15.75" customHeight="1">
      <c r="A31" s="3" t="s">
        <v>110</v>
      </c>
      <c r="B31" s="5" t="s">
        <v>111</v>
      </c>
      <c r="C31" s="5" t="s">
        <v>112</v>
      </c>
      <c r="D31" s="3">
        <v>3.0</v>
      </c>
      <c r="E31" s="3" t="s">
        <v>24</v>
      </c>
      <c r="F31" s="3"/>
      <c r="G31" s="3"/>
      <c r="H31" s="3"/>
      <c r="I31" s="3"/>
      <c r="J31" s="3"/>
      <c r="K31" s="3"/>
      <c r="L31" s="3"/>
      <c r="M31" s="3"/>
      <c r="N31" s="3"/>
      <c r="O31" s="3"/>
      <c r="P31" s="3"/>
      <c r="Q31" s="3"/>
      <c r="R31" s="3"/>
      <c r="S31" s="3"/>
      <c r="T31" s="3"/>
      <c r="U31" s="3"/>
    </row>
    <row r="32" ht="15.75" customHeight="1">
      <c r="A32" s="6" t="s">
        <v>113</v>
      </c>
      <c r="B32" s="7" t="s">
        <v>114</v>
      </c>
      <c r="C32" s="7" t="s">
        <v>115</v>
      </c>
      <c r="D32" s="6">
        <v>4.0</v>
      </c>
      <c r="E32" s="6" t="s">
        <v>49</v>
      </c>
      <c r="F32" s="6"/>
      <c r="G32" s="6"/>
      <c r="H32" s="6"/>
      <c r="I32" s="6"/>
      <c r="J32" s="6"/>
      <c r="K32" s="6"/>
      <c r="L32" s="6"/>
      <c r="M32" s="6"/>
      <c r="N32" s="6"/>
      <c r="O32" s="6"/>
      <c r="P32" s="6"/>
      <c r="Q32" s="6"/>
      <c r="R32" s="6"/>
      <c r="S32" s="6"/>
      <c r="T32" s="6"/>
      <c r="U32" s="6"/>
    </row>
    <row r="33" ht="15.75" customHeight="1">
      <c r="A33" s="6" t="s">
        <v>116</v>
      </c>
      <c r="B33" s="7" t="s">
        <v>117</v>
      </c>
      <c r="C33" s="7" t="s">
        <v>118</v>
      </c>
      <c r="D33" s="6">
        <v>4.0</v>
      </c>
      <c r="E33" s="6" t="s">
        <v>49</v>
      </c>
      <c r="F33" s="6"/>
      <c r="G33" s="6"/>
      <c r="H33" s="6"/>
      <c r="I33" s="6"/>
      <c r="J33" s="6"/>
      <c r="K33" s="6"/>
      <c r="L33" s="6"/>
      <c r="M33" s="6"/>
      <c r="N33" s="6"/>
      <c r="O33" s="6"/>
      <c r="P33" s="6"/>
      <c r="Q33" s="6"/>
      <c r="R33" s="6"/>
      <c r="S33" s="6"/>
      <c r="T33" s="6"/>
      <c r="U33" s="6"/>
    </row>
    <row r="34" ht="15.75" customHeight="1">
      <c r="A34" s="6" t="s">
        <v>119</v>
      </c>
      <c r="B34" s="7" t="s">
        <v>120</v>
      </c>
      <c r="C34" s="7" t="s">
        <v>121</v>
      </c>
      <c r="D34" s="6">
        <v>4.0</v>
      </c>
      <c r="E34" s="6" t="s">
        <v>49</v>
      </c>
      <c r="F34" s="6"/>
      <c r="G34" s="6"/>
      <c r="H34" s="6"/>
      <c r="I34" s="6"/>
      <c r="J34" s="6"/>
      <c r="K34" s="6"/>
      <c r="L34" s="6"/>
      <c r="M34" s="6"/>
      <c r="N34" s="6"/>
      <c r="O34" s="6"/>
      <c r="P34" s="6"/>
      <c r="Q34" s="6"/>
      <c r="R34" s="6"/>
      <c r="S34" s="6"/>
      <c r="T34" s="6"/>
      <c r="U34" s="6"/>
    </row>
    <row r="35" ht="15.75" customHeight="1">
      <c r="A35" s="6" t="s">
        <v>122</v>
      </c>
      <c r="B35" s="7" t="s">
        <v>123</v>
      </c>
      <c r="C35" s="7" t="s">
        <v>124</v>
      </c>
      <c r="D35" s="6">
        <v>4.0</v>
      </c>
      <c r="E35" s="6" t="s">
        <v>49</v>
      </c>
      <c r="F35" s="6"/>
      <c r="G35" s="6"/>
      <c r="H35" s="6"/>
      <c r="I35" s="6"/>
      <c r="J35" s="6"/>
      <c r="K35" s="6"/>
      <c r="L35" s="6"/>
      <c r="M35" s="6"/>
      <c r="N35" s="6"/>
      <c r="O35" s="6"/>
      <c r="P35" s="6"/>
      <c r="Q35" s="6"/>
      <c r="R35" s="6"/>
      <c r="S35" s="6"/>
      <c r="T35" s="6"/>
      <c r="U35" s="6"/>
    </row>
    <row r="36" ht="15.75" customHeight="1">
      <c r="A36" s="6" t="s">
        <v>125</v>
      </c>
      <c r="B36" s="7" t="s">
        <v>126</v>
      </c>
      <c r="C36" s="7" t="s">
        <v>127</v>
      </c>
      <c r="D36" s="6">
        <v>4.0</v>
      </c>
      <c r="E36" s="6" t="s">
        <v>49</v>
      </c>
      <c r="F36" s="6"/>
      <c r="G36" s="6"/>
      <c r="H36" s="6"/>
      <c r="I36" s="6"/>
      <c r="J36" s="6"/>
      <c r="K36" s="6"/>
      <c r="L36" s="6"/>
      <c r="M36" s="6"/>
      <c r="N36" s="6"/>
      <c r="O36" s="6"/>
      <c r="P36" s="6"/>
      <c r="Q36" s="6"/>
      <c r="R36" s="6"/>
      <c r="S36" s="6"/>
      <c r="T36" s="6"/>
      <c r="U36" s="6"/>
    </row>
    <row r="37" ht="15.75" customHeight="1">
      <c r="A37" s="6" t="s">
        <v>128</v>
      </c>
      <c r="B37" s="7" t="s">
        <v>129</v>
      </c>
      <c r="C37" s="7" t="s">
        <v>130</v>
      </c>
      <c r="D37" s="6">
        <v>3.0</v>
      </c>
      <c r="E37" s="6" t="s">
        <v>49</v>
      </c>
      <c r="F37" s="6"/>
      <c r="G37" s="6"/>
      <c r="H37" s="6"/>
      <c r="I37" s="6"/>
      <c r="J37" s="6"/>
      <c r="K37" s="6"/>
      <c r="L37" s="6"/>
      <c r="M37" s="6"/>
      <c r="N37" s="6"/>
      <c r="O37" s="6"/>
      <c r="P37" s="6"/>
      <c r="Q37" s="6"/>
      <c r="R37" s="6"/>
      <c r="S37" s="6"/>
      <c r="T37" s="6"/>
      <c r="U37" s="6"/>
    </row>
    <row r="38" ht="15.75" customHeight="1">
      <c r="A38" s="6" t="s">
        <v>131</v>
      </c>
      <c r="B38" s="7" t="s">
        <v>132</v>
      </c>
      <c r="C38" s="7" t="s">
        <v>133</v>
      </c>
      <c r="D38" s="6">
        <v>3.0</v>
      </c>
      <c r="E38" s="6" t="s">
        <v>49</v>
      </c>
      <c r="F38" s="6"/>
      <c r="G38" s="6"/>
      <c r="H38" s="6"/>
      <c r="I38" s="6"/>
      <c r="J38" s="6"/>
      <c r="K38" s="6"/>
      <c r="L38" s="6"/>
      <c r="M38" s="6"/>
      <c r="N38" s="6"/>
      <c r="O38" s="6"/>
      <c r="P38" s="6"/>
      <c r="Q38" s="6"/>
      <c r="R38" s="6"/>
      <c r="S38" s="6"/>
      <c r="T38" s="6"/>
      <c r="U38" s="6"/>
    </row>
    <row r="39" ht="15.75" customHeight="1">
      <c r="A39" s="6" t="s">
        <v>134</v>
      </c>
      <c r="B39" s="7" t="s">
        <v>135</v>
      </c>
      <c r="C39" s="7" t="s">
        <v>136</v>
      </c>
      <c r="D39" s="6">
        <v>3.0</v>
      </c>
      <c r="E39" s="6" t="s">
        <v>49</v>
      </c>
      <c r="F39" s="6"/>
      <c r="G39" s="6"/>
      <c r="H39" s="6"/>
      <c r="I39" s="6"/>
      <c r="J39" s="6"/>
      <c r="K39" s="6"/>
      <c r="L39" s="6"/>
      <c r="M39" s="6"/>
      <c r="N39" s="6"/>
      <c r="O39" s="6"/>
      <c r="P39" s="6"/>
      <c r="Q39" s="6"/>
      <c r="R39" s="6"/>
      <c r="S39" s="6"/>
      <c r="T39" s="6"/>
      <c r="U39" s="6"/>
    </row>
    <row r="40" ht="15.75" customHeight="1">
      <c r="A40" s="3" t="s">
        <v>137</v>
      </c>
      <c r="B40" s="5" t="s">
        <v>138</v>
      </c>
      <c r="C40" s="5" t="s">
        <v>139</v>
      </c>
      <c r="D40" s="3">
        <v>3.0</v>
      </c>
      <c r="E40" s="3" t="s">
        <v>24</v>
      </c>
      <c r="F40" s="3"/>
      <c r="G40" s="3"/>
      <c r="H40" s="3"/>
      <c r="I40" s="3"/>
      <c r="J40" s="3"/>
      <c r="K40" s="3"/>
      <c r="L40" s="3"/>
      <c r="M40" s="3"/>
      <c r="N40" s="3"/>
      <c r="O40" s="3"/>
      <c r="P40" s="3"/>
      <c r="Q40" s="3"/>
      <c r="R40" s="3"/>
      <c r="S40" s="3"/>
      <c r="T40" s="3"/>
      <c r="U40" s="3"/>
    </row>
    <row r="41" ht="15.75" customHeight="1">
      <c r="A41" s="6" t="s">
        <v>140</v>
      </c>
      <c r="B41" s="7" t="s">
        <v>141</v>
      </c>
      <c r="C41" s="7" t="s">
        <v>142</v>
      </c>
      <c r="D41" s="6">
        <v>4.0</v>
      </c>
      <c r="E41" s="6" t="s">
        <v>49</v>
      </c>
      <c r="F41" s="6"/>
      <c r="G41" s="6"/>
      <c r="H41" s="6"/>
      <c r="I41" s="6"/>
      <c r="J41" s="6"/>
      <c r="K41" s="6"/>
      <c r="L41" s="6"/>
      <c r="M41" s="6"/>
      <c r="N41" s="6"/>
      <c r="O41" s="6"/>
      <c r="P41" s="6"/>
      <c r="Q41" s="6"/>
      <c r="R41" s="6"/>
      <c r="S41" s="6"/>
      <c r="T41" s="6"/>
      <c r="U41" s="6"/>
    </row>
    <row r="42" ht="15.75" customHeight="1">
      <c r="A42" s="6" t="s">
        <v>143</v>
      </c>
      <c r="B42" s="7" t="s">
        <v>144</v>
      </c>
      <c r="C42" s="7" t="s">
        <v>145</v>
      </c>
      <c r="D42" s="6">
        <v>4.0</v>
      </c>
      <c r="E42" s="6" t="s">
        <v>49</v>
      </c>
      <c r="F42" s="6"/>
      <c r="G42" s="6"/>
      <c r="H42" s="6"/>
      <c r="I42" s="6"/>
      <c r="J42" s="6"/>
      <c r="K42" s="6"/>
      <c r="L42" s="6"/>
      <c r="M42" s="6"/>
      <c r="N42" s="6"/>
      <c r="O42" s="6"/>
      <c r="P42" s="6"/>
      <c r="Q42" s="6"/>
      <c r="R42" s="6"/>
      <c r="S42" s="6"/>
      <c r="T42" s="6"/>
      <c r="U42" s="6"/>
    </row>
    <row r="43" ht="15.75" customHeight="1">
      <c r="A43" s="3" t="s">
        <v>146</v>
      </c>
      <c r="B43" s="5" t="s">
        <v>147</v>
      </c>
      <c r="C43" s="5" t="s">
        <v>148</v>
      </c>
      <c r="D43" s="3">
        <v>3.0</v>
      </c>
      <c r="E43" s="3" t="s">
        <v>24</v>
      </c>
      <c r="F43" s="3"/>
      <c r="G43" s="3"/>
      <c r="H43" s="3"/>
      <c r="I43" s="3"/>
      <c r="J43" s="3"/>
      <c r="K43" s="3"/>
      <c r="L43" s="3"/>
      <c r="M43" s="3"/>
      <c r="N43" s="3"/>
      <c r="O43" s="3"/>
      <c r="P43" s="3"/>
      <c r="Q43" s="3"/>
      <c r="R43" s="3"/>
      <c r="S43" s="3"/>
      <c r="T43" s="3"/>
      <c r="U43" s="3"/>
    </row>
    <row r="44" ht="15.75" customHeight="1">
      <c r="A44" s="6" t="s">
        <v>149</v>
      </c>
      <c r="B44" s="7" t="s">
        <v>150</v>
      </c>
      <c r="C44" s="7" t="s">
        <v>151</v>
      </c>
      <c r="D44" s="6">
        <v>4.0</v>
      </c>
      <c r="E44" s="6" t="s">
        <v>49</v>
      </c>
      <c r="F44" s="6"/>
      <c r="G44" s="6"/>
      <c r="H44" s="6"/>
      <c r="I44" s="6"/>
      <c r="J44" s="6"/>
      <c r="K44" s="6"/>
      <c r="L44" s="6"/>
      <c r="M44" s="6"/>
      <c r="N44" s="6"/>
      <c r="O44" s="6"/>
      <c r="P44" s="6"/>
      <c r="Q44" s="6"/>
      <c r="R44" s="6"/>
      <c r="S44" s="6"/>
      <c r="T44" s="6"/>
      <c r="U44" s="6"/>
    </row>
    <row r="45" ht="15.75" customHeight="1">
      <c r="A45" s="6" t="s">
        <v>152</v>
      </c>
      <c r="B45" s="7" t="s">
        <v>153</v>
      </c>
      <c r="C45" s="7" t="s">
        <v>154</v>
      </c>
      <c r="D45" s="6">
        <v>4.0</v>
      </c>
      <c r="E45" s="6" t="s">
        <v>49</v>
      </c>
      <c r="F45" s="6"/>
      <c r="G45" s="6"/>
      <c r="H45" s="6"/>
      <c r="I45" s="6"/>
      <c r="J45" s="6"/>
      <c r="K45" s="6"/>
      <c r="L45" s="6"/>
      <c r="M45" s="6"/>
      <c r="N45" s="6"/>
      <c r="O45" s="6"/>
      <c r="P45" s="6"/>
      <c r="Q45" s="6"/>
      <c r="R45" s="6"/>
      <c r="S45" s="6"/>
      <c r="T45" s="6"/>
      <c r="U45" s="6"/>
    </row>
    <row r="46" ht="15.75" customHeight="1">
      <c r="A46" s="6" t="s">
        <v>155</v>
      </c>
      <c r="B46" s="7" t="s">
        <v>156</v>
      </c>
      <c r="C46" s="7" t="s">
        <v>157</v>
      </c>
      <c r="D46" s="6">
        <v>4.0</v>
      </c>
      <c r="E46" s="6" t="s">
        <v>49</v>
      </c>
      <c r="F46" s="6"/>
      <c r="G46" s="6"/>
      <c r="H46" s="6"/>
      <c r="I46" s="6"/>
      <c r="J46" s="6"/>
      <c r="K46" s="6"/>
      <c r="L46" s="6"/>
      <c r="M46" s="6"/>
      <c r="N46" s="6"/>
      <c r="O46" s="6"/>
      <c r="P46" s="6"/>
      <c r="Q46" s="6"/>
      <c r="R46" s="6"/>
      <c r="S46" s="6"/>
      <c r="T46" s="6"/>
      <c r="U46" s="6"/>
    </row>
    <row r="47" ht="15.75" customHeight="1">
      <c r="A47" s="3" t="s">
        <v>158</v>
      </c>
      <c r="B47" s="5" t="s">
        <v>159</v>
      </c>
      <c r="C47" s="5" t="s">
        <v>160</v>
      </c>
      <c r="D47" s="3">
        <v>3.0</v>
      </c>
      <c r="E47" s="3" t="s">
        <v>24</v>
      </c>
      <c r="F47" s="3"/>
      <c r="G47" s="3"/>
      <c r="H47" s="3"/>
      <c r="I47" s="3"/>
      <c r="J47" s="3"/>
      <c r="K47" s="3"/>
      <c r="L47" s="3"/>
      <c r="M47" s="3"/>
      <c r="N47" s="3"/>
      <c r="O47" s="3"/>
      <c r="P47" s="3"/>
      <c r="Q47" s="3"/>
      <c r="R47" s="3"/>
      <c r="S47" s="3"/>
      <c r="T47" s="3"/>
      <c r="U47" s="3"/>
    </row>
    <row r="48" ht="15.75" customHeight="1">
      <c r="A48" s="6" t="s">
        <v>161</v>
      </c>
      <c r="B48" s="7" t="s">
        <v>162</v>
      </c>
      <c r="C48" s="7" t="s">
        <v>163</v>
      </c>
      <c r="D48" s="6">
        <v>4.0</v>
      </c>
      <c r="E48" s="6" t="s">
        <v>49</v>
      </c>
      <c r="F48" s="6"/>
      <c r="G48" s="6"/>
      <c r="H48" s="6"/>
      <c r="I48" s="6"/>
      <c r="J48" s="6"/>
      <c r="K48" s="6"/>
      <c r="L48" s="6"/>
      <c r="M48" s="6"/>
      <c r="N48" s="6"/>
      <c r="O48" s="6"/>
      <c r="P48" s="6"/>
      <c r="Q48" s="6"/>
      <c r="R48" s="6"/>
      <c r="S48" s="6"/>
      <c r="T48" s="6"/>
      <c r="U48" s="6"/>
    </row>
    <row r="49" ht="15.75" customHeight="1">
      <c r="A49" s="6" t="s">
        <v>164</v>
      </c>
      <c r="B49" s="7" t="s">
        <v>165</v>
      </c>
      <c r="C49" s="7" t="s">
        <v>166</v>
      </c>
      <c r="D49" s="6">
        <v>4.0</v>
      </c>
      <c r="E49" s="6" t="s">
        <v>49</v>
      </c>
      <c r="F49" s="6"/>
      <c r="G49" s="6"/>
      <c r="H49" s="6"/>
      <c r="I49" s="6"/>
      <c r="J49" s="6"/>
      <c r="K49" s="6"/>
      <c r="L49" s="6"/>
      <c r="M49" s="6"/>
      <c r="N49" s="6"/>
      <c r="O49" s="6"/>
      <c r="P49" s="6"/>
      <c r="Q49" s="6"/>
      <c r="R49" s="6"/>
      <c r="S49" s="6"/>
      <c r="T49" s="6"/>
      <c r="U49" s="6"/>
    </row>
    <row r="50" ht="15.75" customHeight="1">
      <c r="A50" s="6" t="s">
        <v>167</v>
      </c>
      <c r="B50" s="7" t="s">
        <v>168</v>
      </c>
      <c r="C50" s="7" t="s">
        <v>169</v>
      </c>
      <c r="D50" s="6">
        <v>3.0</v>
      </c>
      <c r="E50" s="6" t="s">
        <v>49</v>
      </c>
      <c r="F50" s="6"/>
      <c r="G50" s="6"/>
      <c r="H50" s="6"/>
      <c r="I50" s="6"/>
      <c r="J50" s="6"/>
      <c r="K50" s="6"/>
      <c r="L50" s="6"/>
      <c r="M50" s="6"/>
      <c r="N50" s="6"/>
      <c r="O50" s="6"/>
      <c r="P50" s="6"/>
      <c r="Q50" s="6"/>
      <c r="R50" s="6"/>
      <c r="S50" s="6"/>
      <c r="T50" s="6"/>
      <c r="U50" s="6"/>
    </row>
    <row r="51" ht="15.75" customHeight="1">
      <c r="A51" s="3" t="s">
        <v>170</v>
      </c>
      <c r="B51" s="5" t="s">
        <v>171</v>
      </c>
      <c r="C51" s="5" t="s">
        <v>172</v>
      </c>
      <c r="D51" s="3">
        <v>3.0</v>
      </c>
      <c r="E51" s="3" t="s">
        <v>24</v>
      </c>
      <c r="F51" s="3"/>
      <c r="G51" s="3"/>
      <c r="H51" s="3"/>
      <c r="I51" s="3"/>
      <c r="J51" s="3"/>
      <c r="K51" s="3"/>
      <c r="L51" s="3"/>
      <c r="M51" s="3"/>
      <c r="N51" s="3"/>
      <c r="O51" s="3"/>
      <c r="P51" s="3"/>
      <c r="Q51" s="3"/>
      <c r="R51" s="3"/>
      <c r="S51" s="3"/>
      <c r="T51" s="3"/>
      <c r="U51" s="3"/>
    </row>
    <row r="52" ht="15.75" customHeight="1">
      <c r="A52" s="6" t="s">
        <v>173</v>
      </c>
      <c r="B52" s="7" t="s">
        <v>174</v>
      </c>
      <c r="C52" s="7" t="s">
        <v>175</v>
      </c>
      <c r="D52" s="6">
        <v>4.0</v>
      </c>
      <c r="E52" s="6" t="s">
        <v>49</v>
      </c>
      <c r="F52" s="6"/>
      <c r="G52" s="6"/>
      <c r="H52" s="6"/>
      <c r="I52" s="6"/>
      <c r="J52" s="6"/>
      <c r="K52" s="6"/>
      <c r="L52" s="6"/>
      <c r="M52" s="6"/>
      <c r="N52" s="6"/>
      <c r="O52" s="6"/>
      <c r="P52" s="6"/>
      <c r="Q52" s="6"/>
      <c r="R52" s="6"/>
      <c r="S52" s="6"/>
      <c r="T52" s="6"/>
      <c r="U52" s="6"/>
    </row>
    <row r="53" ht="15.75" customHeight="1">
      <c r="A53" s="6" t="s">
        <v>176</v>
      </c>
      <c r="B53" s="7" t="s">
        <v>177</v>
      </c>
      <c r="C53" s="7" t="s">
        <v>178</v>
      </c>
      <c r="D53" s="6">
        <v>4.0</v>
      </c>
      <c r="E53" s="6" t="s">
        <v>49</v>
      </c>
      <c r="F53" s="6"/>
      <c r="G53" s="6"/>
      <c r="H53" s="6"/>
      <c r="I53" s="6"/>
      <c r="J53" s="6"/>
      <c r="K53" s="6"/>
      <c r="L53" s="6"/>
      <c r="M53" s="6"/>
      <c r="N53" s="6"/>
      <c r="O53" s="6"/>
      <c r="P53" s="6"/>
      <c r="Q53" s="6"/>
      <c r="R53" s="6"/>
      <c r="S53" s="6"/>
      <c r="T53" s="6"/>
      <c r="U53" s="6"/>
    </row>
    <row r="54" ht="15.75" customHeight="1">
      <c r="A54" s="3" t="s">
        <v>179</v>
      </c>
      <c r="B54" s="5" t="s">
        <v>180</v>
      </c>
      <c r="C54" s="5" t="s">
        <v>181</v>
      </c>
      <c r="D54" s="3">
        <v>4.0</v>
      </c>
      <c r="E54" s="3" t="s">
        <v>24</v>
      </c>
      <c r="F54" s="3"/>
      <c r="G54" s="3"/>
      <c r="H54" s="3"/>
      <c r="I54" s="3"/>
      <c r="J54" s="3"/>
      <c r="K54" s="3"/>
      <c r="L54" s="3"/>
      <c r="M54" s="3"/>
      <c r="N54" s="3"/>
      <c r="O54" s="3"/>
      <c r="P54" s="3"/>
      <c r="Q54" s="3"/>
      <c r="R54" s="3"/>
      <c r="S54" s="3"/>
      <c r="T54" s="3"/>
      <c r="U54" s="3"/>
    </row>
    <row r="55" ht="15.75" customHeight="1">
      <c r="A55" s="3" t="s">
        <v>182</v>
      </c>
      <c r="B55" s="5" t="s">
        <v>183</v>
      </c>
      <c r="C55" s="5" t="s">
        <v>184</v>
      </c>
      <c r="D55" s="3">
        <v>4.0</v>
      </c>
      <c r="E55" s="3" t="s">
        <v>24</v>
      </c>
      <c r="F55" s="3"/>
      <c r="G55" s="3"/>
      <c r="H55" s="3"/>
      <c r="I55" s="3"/>
      <c r="J55" s="3"/>
      <c r="K55" s="3"/>
      <c r="L55" s="3"/>
      <c r="M55" s="3"/>
      <c r="N55" s="3"/>
      <c r="O55" s="3"/>
      <c r="P55" s="3"/>
      <c r="Q55" s="3"/>
      <c r="R55" s="3"/>
      <c r="S55" s="3"/>
      <c r="T55" s="3"/>
      <c r="U55" s="3"/>
    </row>
    <row r="56" ht="15.75" customHeight="1">
      <c r="A56" s="3" t="s">
        <v>185</v>
      </c>
      <c r="B56" s="5" t="s">
        <v>186</v>
      </c>
      <c r="C56" s="5" t="s">
        <v>187</v>
      </c>
      <c r="D56" s="3">
        <v>3.0</v>
      </c>
      <c r="E56" s="3" t="s">
        <v>24</v>
      </c>
      <c r="F56" s="3"/>
      <c r="G56" s="3"/>
      <c r="H56" s="3"/>
      <c r="I56" s="3"/>
      <c r="J56" s="3"/>
      <c r="K56" s="3"/>
      <c r="L56" s="3"/>
      <c r="M56" s="3"/>
      <c r="N56" s="3"/>
      <c r="O56" s="3"/>
      <c r="P56" s="3"/>
      <c r="Q56" s="3"/>
      <c r="R56" s="3"/>
      <c r="S56" s="3"/>
      <c r="T56" s="3"/>
      <c r="U56" s="3"/>
    </row>
    <row r="57" ht="15.75" customHeight="1">
      <c r="A57" s="3" t="s">
        <v>188</v>
      </c>
      <c r="B57" s="5" t="s">
        <v>189</v>
      </c>
      <c r="C57" s="5" t="s">
        <v>190</v>
      </c>
      <c r="D57" s="3">
        <v>4.0</v>
      </c>
      <c r="E57" s="3" t="s">
        <v>24</v>
      </c>
      <c r="F57" s="3"/>
      <c r="G57" s="3"/>
      <c r="H57" s="3"/>
      <c r="I57" s="3"/>
      <c r="J57" s="3"/>
      <c r="K57" s="3"/>
      <c r="L57" s="3"/>
      <c r="M57" s="3"/>
      <c r="N57" s="3"/>
      <c r="O57" s="3"/>
      <c r="P57" s="3"/>
      <c r="Q57" s="3"/>
      <c r="R57" s="3"/>
      <c r="S57" s="3"/>
      <c r="T57" s="3"/>
      <c r="U57" s="3"/>
    </row>
    <row r="58" ht="15.75" customHeight="1">
      <c r="A58" s="3" t="s">
        <v>191</v>
      </c>
      <c r="B58" s="5" t="s">
        <v>192</v>
      </c>
      <c r="C58" s="5" t="s">
        <v>193</v>
      </c>
      <c r="D58" s="3">
        <v>4.0</v>
      </c>
      <c r="E58" s="3" t="s">
        <v>24</v>
      </c>
      <c r="F58" s="3"/>
      <c r="G58" s="3"/>
      <c r="H58" s="3"/>
      <c r="I58" s="3"/>
      <c r="J58" s="3"/>
      <c r="K58" s="3"/>
      <c r="L58" s="3"/>
      <c r="M58" s="3"/>
      <c r="N58" s="3"/>
      <c r="O58" s="3"/>
      <c r="P58" s="3"/>
      <c r="Q58" s="3"/>
      <c r="R58" s="3"/>
      <c r="S58" s="3"/>
      <c r="T58" s="3"/>
      <c r="U58" s="3"/>
    </row>
    <row r="59" ht="15.75" customHeight="1">
      <c r="A59" s="3" t="s">
        <v>194</v>
      </c>
      <c r="B59" s="5" t="s">
        <v>195</v>
      </c>
      <c r="C59" s="5" t="s">
        <v>196</v>
      </c>
      <c r="D59" s="3">
        <v>4.0</v>
      </c>
      <c r="E59" s="3" t="s">
        <v>24</v>
      </c>
      <c r="F59" s="3"/>
      <c r="G59" s="3"/>
      <c r="H59" s="3"/>
      <c r="I59" s="3"/>
      <c r="J59" s="3"/>
      <c r="K59" s="3"/>
      <c r="L59" s="3"/>
      <c r="M59" s="3"/>
      <c r="N59" s="3"/>
      <c r="O59" s="3"/>
      <c r="P59" s="3"/>
      <c r="Q59" s="3"/>
      <c r="R59" s="3"/>
      <c r="S59" s="3"/>
      <c r="T59" s="3"/>
      <c r="U59" s="3"/>
    </row>
    <row r="60" ht="15.75" customHeight="1">
      <c r="A60" s="3" t="s">
        <v>197</v>
      </c>
      <c r="B60" s="5" t="s">
        <v>198</v>
      </c>
      <c r="C60" s="5" t="s">
        <v>199</v>
      </c>
      <c r="D60" s="3">
        <v>2.0</v>
      </c>
      <c r="E60" s="3" t="s">
        <v>24</v>
      </c>
      <c r="F60" s="3"/>
      <c r="G60" s="3"/>
      <c r="H60" s="3"/>
      <c r="I60" s="3"/>
      <c r="J60" s="3"/>
      <c r="K60" s="3"/>
      <c r="L60" s="3"/>
      <c r="M60" s="3"/>
      <c r="N60" s="3"/>
      <c r="O60" s="3"/>
      <c r="P60" s="3"/>
      <c r="Q60" s="3"/>
      <c r="R60" s="3"/>
      <c r="S60" s="3"/>
      <c r="T60" s="3"/>
      <c r="U60" s="3"/>
    </row>
    <row r="61" ht="15.75" customHeight="1">
      <c r="A61" s="3" t="s">
        <v>200</v>
      </c>
      <c r="B61" s="5" t="s">
        <v>201</v>
      </c>
      <c r="C61" s="5" t="s">
        <v>202</v>
      </c>
      <c r="D61" s="3">
        <v>3.0</v>
      </c>
      <c r="E61" s="3" t="s">
        <v>24</v>
      </c>
      <c r="F61" s="3"/>
      <c r="G61" s="3"/>
      <c r="H61" s="3"/>
      <c r="I61" s="3"/>
      <c r="J61" s="3"/>
      <c r="K61" s="3"/>
      <c r="L61" s="3"/>
      <c r="M61" s="3"/>
      <c r="N61" s="3"/>
      <c r="O61" s="3"/>
      <c r="P61" s="3"/>
      <c r="Q61" s="3"/>
      <c r="R61" s="3"/>
      <c r="S61" s="3"/>
      <c r="T61" s="3"/>
      <c r="U61" s="3"/>
    </row>
    <row r="62" ht="15.75" customHeight="1">
      <c r="A62" s="3" t="s">
        <v>203</v>
      </c>
      <c r="B62" s="5" t="s">
        <v>204</v>
      </c>
      <c r="C62" s="5" t="s">
        <v>205</v>
      </c>
      <c r="D62" s="3">
        <v>3.0</v>
      </c>
      <c r="E62" s="3" t="s">
        <v>24</v>
      </c>
      <c r="F62" s="3"/>
      <c r="G62" s="3"/>
      <c r="H62" s="3"/>
      <c r="I62" s="3"/>
      <c r="J62" s="3"/>
      <c r="K62" s="3"/>
      <c r="L62" s="3"/>
      <c r="M62" s="3"/>
      <c r="N62" s="3"/>
      <c r="O62" s="3"/>
      <c r="P62" s="3"/>
      <c r="Q62" s="3"/>
      <c r="R62" s="3"/>
      <c r="S62" s="3"/>
      <c r="T62" s="3"/>
      <c r="U62" s="3"/>
    </row>
    <row r="63" ht="15.75" customHeight="1">
      <c r="A63" s="3" t="s">
        <v>206</v>
      </c>
      <c r="B63" s="4" t="s">
        <v>207</v>
      </c>
      <c r="C63" s="4" t="s">
        <v>208</v>
      </c>
      <c r="D63" s="3">
        <v>1.0</v>
      </c>
      <c r="E63" s="3" t="s">
        <v>24</v>
      </c>
      <c r="F63" s="3"/>
      <c r="G63" s="3"/>
      <c r="H63" s="3"/>
      <c r="I63" s="3"/>
      <c r="J63" s="3"/>
      <c r="K63" s="3"/>
      <c r="L63" s="3"/>
      <c r="M63" s="3"/>
      <c r="N63" s="3"/>
      <c r="O63" s="3"/>
      <c r="P63" s="3"/>
      <c r="Q63" s="3"/>
      <c r="R63" s="3"/>
      <c r="S63" s="3"/>
      <c r="T63" s="3"/>
      <c r="U63" s="3"/>
    </row>
    <row r="64" ht="15.75" customHeight="1">
      <c r="A64" s="3" t="s">
        <v>209</v>
      </c>
      <c r="B64" s="5" t="s">
        <v>210</v>
      </c>
      <c r="C64" s="5" t="s">
        <v>211</v>
      </c>
      <c r="D64" s="3">
        <v>2.0</v>
      </c>
      <c r="E64" s="3" t="s">
        <v>24</v>
      </c>
      <c r="F64" s="3"/>
      <c r="G64" s="3"/>
      <c r="H64" s="3"/>
      <c r="I64" s="3"/>
      <c r="J64" s="3"/>
      <c r="K64" s="3"/>
      <c r="L64" s="3"/>
      <c r="M64" s="3"/>
      <c r="N64" s="3"/>
      <c r="O64" s="3"/>
      <c r="P64" s="3"/>
      <c r="Q64" s="3"/>
      <c r="R64" s="3"/>
      <c r="S64" s="3"/>
      <c r="T64" s="3"/>
      <c r="U64" s="3"/>
    </row>
    <row r="65" ht="15.75" customHeight="1">
      <c r="A65" s="6" t="s">
        <v>212</v>
      </c>
      <c r="B65" s="7" t="s">
        <v>213</v>
      </c>
      <c r="C65" s="7" t="s">
        <v>214</v>
      </c>
      <c r="D65" s="6">
        <v>3.0</v>
      </c>
      <c r="E65" s="6" t="s">
        <v>49</v>
      </c>
      <c r="F65" s="6"/>
      <c r="G65" s="6"/>
      <c r="H65" s="6"/>
      <c r="I65" s="6"/>
      <c r="J65" s="6"/>
      <c r="K65" s="6"/>
      <c r="L65" s="6"/>
      <c r="M65" s="6"/>
      <c r="N65" s="6"/>
      <c r="O65" s="6"/>
      <c r="P65" s="6"/>
      <c r="Q65" s="6"/>
      <c r="R65" s="6"/>
      <c r="S65" s="6"/>
      <c r="T65" s="6"/>
      <c r="U65" s="6"/>
    </row>
    <row r="66" ht="15.75" customHeight="1">
      <c r="A66" s="6" t="s">
        <v>215</v>
      </c>
      <c r="B66" s="7" t="s">
        <v>216</v>
      </c>
      <c r="C66" s="7" t="s">
        <v>217</v>
      </c>
      <c r="D66" s="6">
        <v>3.0</v>
      </c>
      <c r="E66" s="6" t="s">
        <v>49</v>
      </c>
      <c r="F66" s="6"/>
      <c r="G66" s="6"/>
      <c r="H66" s="6"/>
      <c r="I66" s="6"/>
      <c r="J66" s="6"/>
      <c r="K66" s="6"/>
      <c r="L66" s="6"/>
      <c r="M66" s="6"/>
      <c r="N66" s="6"/>
      <c r="O66" s="6"/>
      <c r="P66" s="6"/>
      <c r="Q66" s="6"/>
      <c r="R66" s="6"/>
      <c r="S66" s="6"/>
      <c r="T66" s="6"/>
      <c r="U66" s="6"/>
    </row>
    <row r="67" ht="15.75" customHeight="1">
      <c r="A67" s="3" t="s">
        <v>218</v>
      </c>
      <c r="B67" s="5" t="s">
        <v>219</v>
      </c>
      <c r="C67" s="5" t="s">
        <v>220</v>
      </c>
      <c r="D67" s="3">
        <v>3.0</v>
      </c>
      <c r="E67" s="3" t="s">
        <v>24</v>
      </c>
      <c r="F67" s="3"/>
      <c r="G67" s="3"/>
      <c r="H67" s="3"/>
      <c r="I67" s="3"/>
      <c r="J67" s="3"/>
      <c r="K67" s="3"/>
      <c r="L67" s="3"/>
      <c r="M67" s="3"/>
      <c r="N67" s="3"/>
      <c r="O67" s="3"/>
      <c r="P67" s="3"/>
      <c r="Q67" s="3"/>
      <c r="R67" s="3"/>
      <c r="S67" s="3"/>
      <c r="T67" s="3"/>
      <c r="U67" s="3"/>
    </row>
    <row r="68" ht="15.75" customHeight="1">
      <c r="A68" s="3" t="s">
        <v>221</v>
      </c>
      <c r="B68" s="5" t="s">
        <v>222</v>
      </c>
      <c r="C68" s="5" t="s">
        <v>223</v>
      </c>
      <c r="D68" s="3">
        <v>2.0</v>
      </c>
      <c r="E68" s="3" t="s">
        <v>24</v>
      </c>
      <c r="F68" s="3"/>
      <c r="G68" s="3"/>
      <c r="H68" s="3"/>
      <c r="I68" s="3"/>
      <c r="J68" s="3"/>
      <c r="K68" s="3"/>
      <c r="L68" s="3"/>
      <c r="M68" s="3"/>
      <c r="N68" s="3"/>
      <c r="O68" s="3"/>
      <c r="P68" s="3"/>
      <c r="Q68" s="3"/>
      <c r="R68" s="3"/>
      <c r="S68" s="3"/>
      <c r="T68" s="3"/>
      <c r="U68" s="3"/>
    </row>
    <row r="69" ht="15.75" customHeight="1">
      <c r="A69" s="3" t="s">
        <v>224</v>
      </c>
      <c r="B69" s="5" t="s">
        <v>225</v>
      </c>
      <c r="C69" s="5" t="s">
        <v>226</v>
      </c>
      <c r="D69" s="3">
        <v>3.0</v>
      </c>
      <c r="E69" s="3" t="s">
        <v>24</v>
      </c>
      <c r="F69" s="3"/>
      <c r="G69" s="3"/>
      <c r="H69" s="3"/>
      <c r="I69" s="3"/>
      <c r="J69" s="3"/>
      <c r="K69" s="3"/>
      <c r="L69" s="3"/>
      <c r="M69" s="3"/>
      <c r="N69" s="3"/>
      <c r="O69" s="3"/>
      <c r="P69" s="3"/>
      <c r="Q69" s="3"/>
      <c r="R69" s="3"/>
      <c r="S69" s="3"/>
      <c r="T69" s="3"/>
      <c r="U69" s="3"/>
    </row>
    <row r="70" ht="15.75" customHeight="1">
      <c r="A70" s="6" t="s">
        <v>227</v>
      </c>
      <c r="B70" s="7" t="s">
        <v>228</v>
      </c>
      <c r="C70" s="7" t="s">
        <v>229</v>
      </c>
      <c r="D70" s="6">
        <v>4.0</v>
      </c>
      <c r="E70" s="6" t="s">
        <v>49</v>
      </c>
      <c r="F70" s="6"/>
      <c r="G70" s="6"/>
      <c r="H70" s="6"/>
      <c r="I70" s="6"/>
      <c r="J70" s="6"/>
      <c r="K70" s="6"/>
      <c r="L70" s="6"/>
      <c r="M70" s="6"/>
      <c r="N70" s="6"/>
      <c r="O70" s="6"/>
      <c r="P70" s="6"/>
      <c r="Q70" s="6"/>
      <c r="R70" s="6"/>
      <c r="S70" s="6"/>
      <c r="T70" s="6"/>
      <c r="U70" s="6"/>
    </row>
    <row r="71" ht="15.75" customHeight="1">
      <c r="A71" s="6" t="s">
        <v>230</v>
      </c>
      <c r="B71" s="7" t="s">
        <v>231</v>
      </c>
      <c r="C71" s="7" t="s">
        <v>232</v>
      </c>
      <c r="D71" s="6">
        <v>4.0</v>
      </c>
      <c r="E71" s="6" t="s">
        <v>49</v>
      </c>
      <c r="F71" s="6"/>
      <c r="G71" s="6"/>
      <c r="H71" s="6"/>
      <c r="I71" s="6"/>
      <c r="J71" s="6"/>
      <c r="K71" s="6"/>
      <c r="L71" s="6"/>
      <c r="M71" s="6"/>
      <c r="N71" s="6"/>
      <c r="O71" s="6"/>
      <c r="P71" s="6"/>
      <c r="Q71" s="6"/>
      <c r="R71" s="6"/>
      <c r="S71" s="6"/>
      <c r="T71" s="6"/>
      <c r="U71" s="6"/>
    </row>
    <row r="72" ht="15.75" customHeight="1">
      <c r="A72" s="3" t="s">
        <v>233</v>
      </c>
      <c r="B72" s="5" t="s">
        <v>234</v>
      </c>
      <c r="C72" s="5" t="s">
        <v>235</v>
      </c>
      <c r="D72" s="3">
        <v>3.0</v>
      </c>
      <c r="E72" s="3" t="s">
        <v>24</v>
      </c>
      <c r="F72" s="3"/>
      <c r="G72" s="3"/>
      <c r="H72" s="3"/>
      <c r="I72" s="3"/>
      <c r="J72" s="3"/>
      <c r="K72" s="3"/>
      <c r="L72" s="3"/>
      <c r="M72" s="3"/>
      <c r="N72" s="3"/>
      <c r="O72" s="3"/>
      <c r="P72" s="3"/>
      <c r="Q72" s="3"/>
      <c r="R72" s="3"/>
      <c r="S72" s="3"/>
      <c r="T72" s="3"/>
      <c r="U72" s="3"/>
    </row>
    <row r="73" ht="15.75" customHeight="1">
      <c r="A73" s="6" t="s">
        <v>236</v>
      </c>
      <c r="B73" s="7" t="s">
        <v>237</v>
      </c>
      <c r="C73" s="7" t="s">
        <v>238</v>
      </c>
      <c r="D73" s="6">
        <v>4.0</v>
      </c>
      <c r="E73" s="6" t="s">
        <v>49</v>
      </c>
      <c r="F73" s="6"/>
      <c r="G73" s="6"/>
      <c r="H73" s="6"/>
      <c r="I73" s="6"/>
      <c r="J73" s="6"/>
      <c r="K73" s="6"/>
      <c r="L73" s="6"/>
      <c r="M73" s="6"/>
      <c r="N73" s="6"/>
      <c r="O73" s="6"/>
      <c r="P73" s="6"/>
      <c r="Q73" s="6"/>
      <c r="R73" s="6"/>
      <c r="S73" s="6"/>
      <c r="T73" s="6"/>
      <c r="U73" s="6"/>
    </row>
    <row r="74" ht="15.75" customHeight="1">
      <c r="A74" s="6" t="s">
        <v>239</v>
      </c>
      <c r="B74" s="7" t="s">
        <v>240</v>
      </c>
      <c r="C74" s="7" t="s">
        <v>241</v>
      </c>
      <c r="D74" s="6">
        <v>4.0</v>
      </c>
      <c r="E74" s="6" t="s">
        <v>49</v>
      </c>
      <c r="F74" s="6"/>
      <c r="G74" s="6"/>
      <c r="H74" s="6"/>
      <c r="I74" s="6"/>
      <c r="J74" s="6"/>
      <c r="K74" s="6"/>
      <c r="L74" s="6"/>
      <c r="M74" s="6"/>
      <c r="N74" s="6"/>
      <c r="O74" s="6"/>
      <c r="P74" s="6"/>
      <c r="Q74" s="6"/>
      <c r="R74" s="6"/>
      <c r="S74" s="6"/>
      <c r="T74" s="6"/>
      <c r="U74" s="6"/>
    </row>
    <row r="75" ht="15.75" customHeight="1">
      <c r="A75" s="6" t="s">
        <v>242</v>
      </c>
      <c r="B75" s="7" t="s">
        <v>243</v>
      </c>
      <c r="C75" s="7" t="s">
        <v>244</v>
      </c>
      <c r="D75" s="6">
        <v>4.0</v>
      </c>
      <c r="E75" s="6" t="s">
        <v>49</v>
      </c>
      <c r="F75" s="6"/>
      <c r="G75" s="6"/>
      <c r="H75" s="6"/>
      <c r="I75" s="6"/>
      <c r="J75" s="6"/>
      <c r="K75" s="6"/>
      <c r="L75" s="6"/>
      <c r="M75" s="6"/>
      <c r="N75" s="6"/>
      <c r="O75" s="6"/>
      <c r="P75" s="6"/>
      <c r="Q75" s="6"/>
      <c r="R75" s="6"/>
      <c r="S75" s="6"/>
      <c r="T75" s="6"/>
      <c r="U75" s="6"/>
    </row>
    <row r="76" ht="15.75" customHeight="1">
      <c r="A76" s="3" t="s">
        <v>245</v>
      </c>
      <c r="B76" s="5" t="s">
        <v>246</v>
      </c>
      <c r="C76" s="5" t="s">
        <v>247</v>
      </c>
      <c r="D76" s="3">
        <v>3.0</v>
      </c>
      <c r="E76" s="3" t="s">
        <v>24</v>
      </c>
      <c r="F76" s="3"/>
      <c r="G76" s="3"/>
      <c r="H76" s="3"/>
      <c r="I76" s="3"/>
      <c r="J76" s="3"/>
      <c r="K76" s="3"/>
      <c r="L76" s="3"/>
      <c r="M76" s="3"/>
      <c r="N76" s="3"/>
      <c r="O76" s="3"/>
      <c r="P76" s="3"/>
      <c r="Q76" s="3"/>
      <c r="R76" s="3"/>
      <c r="S76" s="3"/>
      <c r="T76" s="3"/>
      <c r="U76" s="3"/>
    </row>
    <row r="77" ht="15.75" customHeight="1">
      <c r="A77" s="6" t="s">
        <v>248</v>
      </c>
      <c r="B77" s="7" t="s">
        <v>249</v>
      </c>
      <c r="C77" s="7" t="s">
        <v>250</v>
      </c>
      <c r="D77" s="6">
        <v>4.0</v>
      </c>
      <c r="E77" s="6" t="s">
        <v>49</v>
      </c>
      <c r="F77" s="6"/>
      <c r="G77" s="6"/>
      <c r="H77" s="6"/>
      <c r="I77" s="6"/>
      <c r="J77" s="6"/>
      <c r="K77" s="6"/>
      <c r="L77" s="6"/>
      <c r="M77" s="6"/>
      <c r="N77" s="6"/>
      <c r="O77" s="6"/>
      <c r="P77" s="6"/>
      <c r="Q77" s="6"/>
      <c r="R77" s="6"/>
      <c r="S77" s="6"/>
      <c r="T77" s="6"/>
      <c r="U77" s="6"/>
    </row>
    <row r="78" ht="15.75" customHeight="1">
      <c r="A78" s="6" t="s">
        <v>251</v>
      </c>
      <c r="B78" s="7" t="s">
        <v>252</v>
      </c>
      <c r="C78" s="7" t="s">
        <v>253</v>
      </c>
      <c r="D78" s="6">
        <v>4.0</v>
      </c>
      <c r="E78" s="6" t="s">
        <v>49</v>
      </c>
      <c r="F78" s="6"/>
      <c r="G78" s="6"/>
      <c r="H78" s="6"/>
      <c r="I78" s="6"/>
      <c r="J78" s="6"/>
      <c r="K78" s="6"/>
      <c r="L78" s="6"/>
      <c r="M78" s="6"/>
      <c r="N78" s="6"/>
      <c r="O78" s="6"/>
      <c r="P78" s="6"/>
      <c r="Q78" s="6"/>
      <c r="R78" s="6"/>
      <c r="S78" s="6"/>
      <c r="T78" s="6"/>
      <c r="U78" s="6"/>
    </row>
    <row r="79" ht="15.75" customHeight="1">
      <c r="A79" s="6" t="s">
        <v>254</v>
      </c>
      <c r="B79" s="7" t="s">
        <v>255</v>
      </c>
      <c r="C79" s="7" t="s">
        <v>256</v>
      </c>
      <c r="D79" s="6">
        <v>4.0</v>
      </c>
      <c r="E79" s="6" t="s">
        <v>49</v>
      </c>
      <c r="F79" s="6"/>
      <c r="G79" s="6"/>
      <c r="H79" s="6"/>
      <c r="I79" s="6"/>
      <c r="J79" s="6"/>
      <c r="K79" s="6"/>
      <c r="L79" s="6"/>
      <c r="M79" s="6"/>
      <c r="N79" s="6"/>
      <c r="O79" s="6"/>
      <c r="P79" s="6"/>
      <c r="Q79" s="6"/>
      <c r="R79" s="6"/>
      <c r="S79" s="6"/>
      <c r="T79" s="6"/>
      <c r="U79" s="6"/>
    </row>
    <row r="80" ht="15.75" customHeight="1">
      <c r="A80" s="3" t="s">
        <v>257</v>
      </c>
      <c r="B80" s="5" t="s">
        <v>258</v>
      </c>
      <c r="C80" s="5" t="s">
        <v>259</v>
      </c>
      <c r="D80" s="3">
        <v>2.0</v>
      </c>
      <c r="E80" s="3" t="s">
        <v>24</v>
      </c>
      <c r="F80" s="3"/>
      <c r="G80" s="3"/>
      <c r="H80" s="3"/>
      <c r="I80" s="3"/>
      <c r="J80" s="3"/>
      <c r="K80" s="3"/>
      <c r="L80" s="3"/>
      <c r="M80" s="3"/>
      <c r="N80" s="3"/>
      <c r="O80" s="3"/>
      <c r="P80" s="3"/>
      <c r="Q80" s="3"/>
      <c r="R80" s="3"/>
      <c r="S80" s="3"/>
      <c r="T80" s="3"/>
      <c r="U80" s="3"/>
    </row>
    <row r="81" ht="15.75" customHeight="1">
      <c r="A81" s="6" t="s">
        <v>260</v>
      </c>
      <c r="B81" s="7" t="s">
        <v>261</v>
      </c>
      <c r="C81" s="7" t="s">
        <v>262</v>
      </c>
      <c r="D81" s="6">
        <v>3.0</v>
      </c>
      <c r="E81" s="6" t="s">
        <v>49</v>
      </c>
      <c r="F81" s="6"/>
      <c r="G81" s="6"/>
      <c r="H81" s="6"/>
      <c r="I81" s="6"/>
      <c r="J81" s="6"/>
      <c r="K81" s="6"/>
      <c r="L81" s="6"/>
      <c r="M81" s="6"/>
      <c r="N81" s="6"/>
      <c r="O81" s="6"/>
      <c r="P81" s="6"/>
      <c r="Q81" s="6"/>
      <c r="R81" s="6"/>
      <c r="S81" s="6"/>
      <c r="T81" s="6"/>
      <c r="U81" s="6"/>
    </row>
    <row r="82" ht="15.75" customHeight="1">
      <c r="A82" s="6" t="s">
        <v>263</v>
      </c>
      <c r="B82" s="7" t="s">
        <v>264</v>
      </c>
      <c r="C82" s="7" t="s">
        <v>265</v>
      </c>
      <c r="D82" s="6">
        <v>3.0</v>
      </c>
      <c r="E82" s="6" t="s">
        <v>49</v>
      </c>
      <c r="F82" s="6"/>
      <c r="G82" s="6"/>
      <c r="H82" s="6"/>
      <c r="I82" s="6"/>
      <c r="J82" s="6"/>
      <c r="K82" s="6"/>
      <c r="L82" s="6"/>
      <c r="M82" s="6"/>
      <c r="N82" s="6"/>
      <c r="O82" s="6"/>
      <c r="P82" s="6"/>
      <c r="Q82" s="6"/>
      <c r="R82" s="6"/>
      <c r="S82" s="6"/>
      <c r="T82" s="6"/>
      <c r="U82" s="6"/>
    </row>
    <row r="83" ht="15.75" customHeight="1">
      <c r="A83" s="6" t="s">
        <v>266</v>
      </c>
      <c r="B83" s="7" t="s">
        <v>267</v>
      </c>
      <c r="C83" s="7" t="s">
        <v>268</v>
      </c>
      <c r="D83" s="6">
        <v>3.0</v>
      </c>
      <c r="E83" s="6" t="s">
        <v>49</v>
      </c>
      <c r="F83" s="6"/>
      <c r="G83" s="6"/>
      <c r="H83" s="6"/>
      <c r="I83" s="6"/>
      <c r="J83" s="6"/>
      <c r="K83" s="6"/>
      <c r="L83" s="6"/>
      <c r="M83" s="6"/>
      <c r="N83" s="6"/>
      <c r="O83" s="6"/>
      <c r="P83" s="6"/>
      <c r="Q83" s="6"/>
      <c r="R83" s="6"/>
      <c r="S83" s="6"/>
      <c r="T83" s="6"/>
      <c r="U83" s="6"/>
    </row>
    <row r="84" ht="15.75" customHeight="1">
      <c r="A84" s="6" t="s">
        <v>269</v>
      </c>
      <c r="B84" s="7" t="s">
        <v>270</v>
      </c>
      <c r="C84" s="7" t="s">
        <v>271</v>
      </c>
      <c r="D84" s="6">
        <v>3.0</v>
      </c>
      <c r="E84" s="6" t="s">
        <v>49</v>
      </c>
      <c r="F84" s="6"/>
      <c r="G84" s="6"/>
      <c r="H84" s="6"/>
      <c r="I84" s="6"/>
      <c r="J84" s="6"/>
      <c r="K84" s="6"/>
      <c r="L84" s="6"/>
      <c r="M84" s="6"/>
      <c r="N84" s="6"/>
      <c r="O84" s="6"/>
      <c r="P84" s="6"/>
      <c r="Q84" s="6"/>
      <c r="R84" s="6"/>
      <c r="S84" s="6"/>
      <c r="T84" s="6"/>
      <c r="U84" s="6"/>
    </row>
    <row r="85" ht="15.75" customHeight="1">
      <c r="A85" s="6" t="s">
        <v>272</v>
      </c>
      <c r="B85" s="7" t="s">
        <v>273</v>
      </c>
      <c r="C85" s="7" t="s">
        <v>274</v>
      </c>
      <c r="D85" s="6">
        <v>3.0</v>
      </c>
      <c r="E85" s="6" t="s">
        <v>49</v>
      </c>
      <c r="F85" s="6"/>
      <c r="G85" s="6"/>
      <c r="H85" s="6"/>
      <c r="I85" s="6"/>
      <c r="J85" s="6"/>
      <c r="K85" s="6"/>
      <c r="L85" s="6"/>
      <c r="M85" s="6"/>
      <c r="N85" s="6"/>
      <c r="O85" s="6"/>
      <c r="P85" s="6"/>
      <c r="Q85" s="6"/>
      <c r="R85" s="6"/>
      <c r="S85" s="6"/>
      <c r="T85" s="6"/>
      <c r="U85" s="6"/>
    </row>
    <row r="86" ht="15.75" customHeight="1">
      <c r="A86" s="6" t="s">
        <v>275</v>
      </c>
      <c r="B86" s="7" t="s">
        <v>276</v>
      </c>
      <c r="C86" s="7" t="s">
        <v>277</v>
      </c>
      <c r="D86" s="6">
        <v>3.0</v>
      </c>
      <c r="E86" s="6" t="s">
        <v>49</v>
      </c>
      <c r="F86" s="6"/>
      <c r="G86" s="6"/>
      <c r="H86" s="6"/>
      <c r="I86" s="6"/>
      <c r="J86" s="6"/>
      <c r="K86" s="6"/>
      <c r="L86" s="6"/>
      <c r="M86" s="6"/>
      <c r="N86" s="6"/>
      <c r="O86" s="6"/>
      <c r="P86" s="6"/>
      <c r="Q86" s="6"/>
      <c r="R86" s="6"/>
      <c r="S86" s="6"/>
      <c r="T86" s="6"/>
      <c r="U86" s="6"/>
    </row>
    <row r="87" ht="15.75" customHeight="1">
      <c r="A87" s="6" t="s">
        <v>278</v>
      </c>
      <c r="B87" s="7" t="s">
        <v>279</v>
      </c>
      <c r="C87" s="7" t="s">
        <v>280</v>
      </c>
      <c r="D87" s="6">
        <v>3.0</v>
      </c>
      <c r="E87" s="6" t="s">
        <v>49</v>
      </c>
      <c r="F87" s="6"/>
      <c r="G87" s="6"/>
      <c r="H87" s="6"/>
      <c r="I87" s="6"/>
      <c r="J87" s="6"/>
      <c r="K87" s="6"/>
      <c r="L87" s="6"/>
      <c r="M87" s="6"/>
      <c r="N87" s="6"/>
      <c r="O87" s="6"/>
      <c r="P87" s="6"/>
      <c r="Q87" s="6"/>
      <c r="R87" s="6"/>
      <c r="S87" s="6"/>
      <c r="T87" s="6"/>
      <c r="U87" s="6"/>
    </row>
    <row r="88" ht="15.75" customHeight="1">
      <c r="A88" s="6" t="s">
        <v>281</v>
      </c>
      <c r="B88" s="7" t="s">
        <v>282</v>
      </c>
      <c r="C88" s="7" t="s">
        <v>283</v>
      </c>
      <c r="D88" s="6">
        <v>3.0</v>
      </c>
      <c r="E88" s="6" t="s">
        <v>49</v>
      </c>
      <c r="F88" s="6"/>
      <c r="G88" s="6"/>
      <c r="H88" s="6"/>
      <c r="I88" s="6"/>
      <c r="J88" s="6"/>
      <c r="K88" s="6"/>
      <c r="L88" s="6"/>
      <c r="M88" s="6"/>
      <c r="N88" s="6"/>
      <c r="O88" s="6"/>
      <c r="P88" s="6"/>
      <c r="Q88" s="6"/>
      <c r="R88" s="6"/>
      <c r="S88" s="6"/>
      <c r="T88" s="6"/>
      <c r="U88" s="6"/>
    </row>
    <row r="89" ht="15.75" customHeight="1">
      <c r="A89" s="3" t="s">
        <v>284</v>
      </c>
      <c r="B89" s="4" t="s">
        <v>285</v>
      </c>
      <c r="C89" s="4" t="s">
        <v>286</v>
      </c>
      <c r="D89" s="3">
        <v>1.0</v>
      </c>
      <c r="E89" s="3" t="s">
        <v>24</v>
      </c>
      <c r="F89" s="3"/>
      <c r="G89" s="3"/>
      <c r="H89" s="3"/>
      <c r="I89" s="3"/>
      <c r="J89" s="3"/>
      <c r="K89" s="3"/>
      <c r="L89" s="3"/>
      <c r="M89" s="3"/>
      <c r="N89" s="3"/>
      <c r="O89" s="3"/>
      <c r="P89" s="3"/>
      <c r="Q89" s="3"/>
      <c r="R89" s="3"/>
      <c r="S89" s="3"/>
      <c r="T89" s="3"/>
      <c r="U89" s="3"/>
    </row>
    <row r="90" ht="15.75" customHeight="1">
      <c r="A90" s="3" t="s">
        <v>287</v>
      </c>
      <c r="B90" s="5" t="s">
        <v>288</v>
      </c>
      <c r="C90" s="5" t="s">
        <v>289</v>
      </c>
      <c r="D90" s="3">
        <v>2.0</v>
      </c>
      <c r="E90" s="3" t="s">
        <v>24</v>
      </c>
      <c r="F90" s="3"/>
      <c r="G90" s="3"/>
      <c r="H90" s="3"/>
      <c r="I90" s="3"/>
      <c r="J90" s="3"/>
      <c r="K90" s="3"/>
      <c r="L90" s="3"/>
      <c r="M90" s="3"/>
      <c r="N90" s="3"/>
      <c r="O90" s="3"/>
      <c r="P90" s="3"/>
      <c r="Q90" s="3"/>
      <c r="R90" s="3"/>
      <c r="S90" s="3"/>
      <c r="T90" s="3"/>
      <c r="U90" s="3"/>
    </row>
    <row r="91" ht="15.75" customHeight="1">
      <c r="A91" s="6" t="s">
        <v>290</v>
      </c>
      <c r="B91" s="7" t="s">
        <v>291</v>
      </c>
      <c r="C91" s="7" t="s">
        <v>292</v>
      </c>
      <c r="D91" s="6">
        <v>3.0</v>
      </c>
      <c r="E91" s="6" t="s">
        <v>49</v>
      </c>
      <c r="F91" s="6"/>
      <c r="G91" s="6"/>
      <c r="H91" s="6"/>
      <c r="I91" s="6"/>
      <c r="J91" s="6"/>
      <c r="K91" s="6"/>
      <c r="L91" s="6"/>
      <c r="M91" s="6"/>
      <c r="N91" s="6"/>
      <c r="O91" s="6"/>
      <c r="P91" s="6"/>
      <c r="Q91" s="6"/>
      <c r="R91" s="6"/>
      <c r="S91" s="6"/>
      <c r="T91" s="6"/>
      <c r="U91" s="6"/>
    </row>
    <row r="92" ht="15.75" customHeight="1">
      <c r="A92" s="6" t="s">
        <v>293</v>
      </c>
      <c r="B92" s="7" t="s">
        <v>294</v>
      </c>
      <c r="C92" s="7" t="s">
        <v>295</v>
      </c>
      <c r="D92" s="6">
        <v>3.0</v>
      </c>
      <c r="E92" s="6" t="s">
        <v>49</v>
      </c>
      <c r="F92" s="6"/>
      <c r="G92" s="6"/>
      <c r="H92" s="6"/>
      <c r="I92" s="6"/>
      <c r="J92" s="6"/>
      <c r="K92" s="6"/>
      <c r="L92" s="6"/>
      <c r="M92" s="6"/>
      <c r="N92" s="6"/>
      <c r="O92" s="6"/>
      <c r="P92" s="6"/>
      <c r="Q92" s="6"/>
      <c r="R92" s="6"/>
      <c r="S92" s="6"/>
      <c r="T92" s="6"/>
      <c r="U92" s="6"/>
    </row>
    <row r="93" ht="15.75" customHeight="1">
      <c r="A93" s="3" t="s">
        <v>296</v>
      </c>
      <c r="B93" s="5" t="s">
        <v>297</v>
      </c>
      <c r="C93" s="5" t="s">
        <v>298</v>
      </c>
      <c r="D93" s="3">
        <v>2.0</v>
      </c>
      <c r="E93" s="3" t="s">
        <v>24</v>
      </c>
      <c r="F93" s="3"/>
      <c r="G93" s="3"/>
      <c r="H93" s="3"/>
      <c r="I93" s="3"/>
      <c r="J93" s="3"/>
      <c r="K93" s="3"/>
      <c r="L93" s="3"/>
      <c r="M93" s="3"/>
      <c r="N93" s="3"/>
      <c r="O93" s="3"/>
      <c r="P93" s="3"/>
      <c r="Q93" s="3"/>
      <c r="R93" s="3"/>
      <c r="S93" s="3"/>
      <c r="T93" s="3"/>
      <c r="U93" s="3"/>
    </row>
    <row r="94" ht="15.75" customHeight="1">
      <c r="A94" s="6" t="s">
        <v>299</v>
      </c>
      <c r="B94" s="7" t="s">
        <v>300</v>
      </c>
      <c r="C94" s="7" t="s">
        <v>301</v>
      </c>
      <c r="D94" s="6">
        <v>3.0</v>
      </c>
      <c r="E94" s="6" t="s">
        <v>49</v>
      </c>
      <c r="F94" s="6"/>
      <c r="G94" s="6"/>
      <c r="H94" s="6"/>
      <c r="I94" s="6"/>
      <c r="J94" s="6"/>
      <c r="K94" s="6"/>
      <c r="L94" s="6"/>
      <c r="M94" s="6"/>
      <c r="N94" s="6"/>
      <c r="O94" s="6"/>
      <c r="P94" s="6"/>
      <c r="Q94" s="6"/>
      <c r="R94" s="6"/>
      <c r="S94" s="6"/>
      <c r="T94" s="6"/>
      <c r="U94" s="6"/>
    </row>
    <row r="95" ht="15.75" customHeight="1">
      <c r="A95" s="6" t="s">
        <v>302</v>
      </c>
      <c r="B95" s="7" t="s">
        <v>303</v>
      </c>
      <c r="C95" s="7" t="s">
        <v>304</v>
      </c>
      <c r="D95" s="6">
        <v>3.0</v>
      </c>
      <c r="E95" s="6" t="s">
        <v>49</v>
      </c>
      <c r="F95" s="6"/>
      <c r="G95" s="6"/>
      <c r="H95" s="6"/>
      <c r="I95" s="6"/>
      <c r="J95" s="6"/>
      <c r="K95" s="6"/>
      <c r="L95" s="6"/>
      <c r="M95" s="6"/>
      <c r="N95" s="6"/>
      <c r="O95" s="6"/>
      <c r="P95" s="6"/>
      <c r="Q95" s="6"/>
      <c r="R95" s="6"/>
      <c r="S95" s="6"/>
      <c r="T95" s="6"/>
      <c r="U95" s="6"/>
    </row>
    <row r="96" ht="15.75" customHeight="1">
      <c r="A96" s="3" t="s">
        <v>305</v>
      </c>
      <c r="B96" s="4" t="s">
        <v>306</v>
      </c>
      <c r="C96" s="4" t="s">
        <v>307</v>
      </c>
      <c r="D96" s="3">
        <v>1.0</v>
      </c>
      <c r="E96" s="3" t="s">
        <v>24</v>
      </c>
      <c r="F96" s="3"/>
      <c r="G96" s="3"/>
      <c r="H96" s="3"/>
      <c r="I96" s="3"/>
      <c r="J96" s="3"/>
      <c r="K96" s="3"/>
      <c r="L96" s="3"/>
      <c r="M96" s="3"/>
      <c r="N96" s="3"/>
      <c r="O96" s="3"/>
      <c r="P96" s="3"/>
      <c r="Q96" s="3"/>
      <c r="R96" s="3"/>
      <c r="S96" s="3"/>
      <c r="T96" s="3"/>
      <c r="U96" s="3"/>
    </row>
    <row r="97" ht="15.75" customHeight="1">
      <c r="A97" s="6" t="s">
        <v>308</v>
      </c>
      <c r="B97" s="7" t="s">
        <v>309</v>
      </c>
      <c r="C97" s="7" t="s">
        <v>310</v>
      </c>
      <c r="D97" s="6">
        <v>2.0</v>
      </c>
      <c r="E97" s="6" t="s">
        <v>49</v>
      </c>
      <c r="F97" s="6"/>
      <c r="G97" s="6"/>
      <c r="H97" s="6"/>
      <c r="I97" s="6"/>
      <c r="J97" s="6"/>
      <c r="K97" s="6"/>
      <c r="L97" s="6"/>
      <c r="M97" s="6"/>
      <c r="N97" s="6"/>
      <c r="O97" s="6"/>
      <c r="P97" s="6"/>
      <c r="Q97" s="6"/>
      <c r="R97" s="6"/>
      <c r="S97" s="6"/>
      <c r="T97" s="6"/>
      <c r="U97" s="6"/>
    </row>
    <row r="98" ht="15.75" customHeight="1">
      <c r="A98" s="6" t="s">
        <v>311</v>
      </c>
      <c r="B98" s="7" t="s">
        <v>312</v>
      </c>
      <c r="C98" s="7" t="s">
        <v>313</v>
      </c>
      <c r="D98" s="6">
        <v>2.0</v>
      </c>
      <c r="E98" s="6" t="s">
        <v>49</v>
      </c>
      <c r="F98" s="6"/>
      <c r="G98" s="6"/>
      <c r="H98" s="6"/>
      <c r="I98" s="6"/>
      <c r="J98" s="6"/>
      <c r="K98" s="6"/>
      <c r="L98" s="6"/>
      <c r="M98" s="6"/>
      <c r="N98" s="6"/>
      <c r="O98" s="6"/>
      <c r="P98" s="6"/>
      <c r="Q98" s="6"/>
      <c r="R98" s="6"/>
      <c r="S98" s="6"/>
      <c r="T98" s="6"/>
      <c r="U98" s="6"/>
    </row>
    <row r="99" ht="15.75" customHeight="1">
      <c r="A99" s="6" t="s">
        <v>314</v>
      </c>
      <c r="B99" s="7" t="s">
        <v>315</v>
      </c>
      <c r="C99" s="7" t="s">
        <v>316</v>
      </c>
      <c r="D99" s="6">
        <v>2.0</v>
      </c>
      <c r="E99" s="6" t="s">
        <v>49</v>
      </c>
      <c r="F99" s="6"/>
      <c r="G99" s="6"/>
      <c r="H99" s="6"/>
      <c r="I99" s="6"/>
      <c r="J99" s="6"/>
      <c r="K99" s="6"/>
      <c r="L99" s="6"/>
      <c r="M99" s="6"/>
      <c r="N99" s="6"/>
      <c r="O99" s="6"/>
      <c r="P99" s="6"/>
      <c r="Q99" s="6"/>
      <c r="R99" s="6"/>
      <c r="S99" s="6"/>
      <c r="T99" s="6"/>
      <c r="U99" s="6"/>
    </row>
    <row r="100" ht="15.75" customHeight="1">
      <c r="B100" s="9"/>
      <c r="C100" s="10"/>
    </row>
    <row r="101" ht="15.75" customHeight="1">
      <c r="B101" s="9"/>
      <c r="C101" s="10"/>
    </row>
    <row r="102" ht="15.75" customHeight="1">
      <c r="B102" s="9"/>
      <c r="C102" s="10"/>
    </row>
    <row r="103" ht="15.75" customHeight="1">
      <c r="B103" s="9"/>
      <c r="C103" s="10"/>
    </row>
    <row r="104" ht="15.75" customHeight="1">
      <c r="B104" s="9"/>
      <c r="C104" s="10"/>
    </row>
    <row r="105" ht="15.75" customHeight="1">
      <c r="B105" s="9"/>
      <c r="C105" s="10"/>
    </row>
    <row r="106" ht="15.75" customHeight="1">
      <c r="B106" s="9"/>
      <c r="C106" s="10"/>
    </row>
    <row r="107" ht="15.75" customHeight="1">
      <c r="B107" s="9"/>
      <c r="C107" s="10"/>
    </row>
    <row r="108" ht="15.75" customHeight="1">
      <c r="B108" s="9"/>
      <c r="C108" s="10"/>
    </row>
    <row r="109" ht="15.75" customHeight="1">
      <c r="B109" s="9"/>
      <c r="C109" s="10"/>
    </row>
    <row r="110" ht="15.75" customHeight="1">
      <c r="B110" s="9"/>
      <c r="C110" s="10"/>
    </row>
    <row r="111" ht="15.75" customHeight="1">
      <c r="B111" s="9"/>
      <c r="C111" s="10"/>
    </row>
    <row r="112" ht="15.75" customHeight="1">
      <c r="B112" s="9"/>
      <c r="C112" s="10"/>
    </row>
    <row r="113" ht="15.75" customHeight="1">
      <c r="B113" s="9"/>
      <c r="C113" s="10"/>
    </row>
    <row r="114" ht="15.75" customHeight="1">
      <c r="B114" s="9"/>
      <c r="C114" s="10"/>
    </row>
    <row r="115" ht="15.75" customHeight="1">
      <c r="B115" s="9"/>
      <c r="C115" s="10"/>
    </row>
    <row r="116" ht="15.75" customHeight="1">
      <c r="B116" s="9"/>
      <c r="C116" s="10"/>
    </row>
    <row r="117" ht="15.75" customHeight="1">
      <c r="B117" s="9"/>
      <c r="C117" s="10"/>
    </row>
    <row r="118" ht="15.75" customHeight="1">
      <c r="B118" s="9"/>
      <c r="C118" s="10"/>
    </row>
    <row r="119" ht="15.75" customHeight="1">
      <c r="B119" s="9"/>
      <c r="C119" s="10"/>
    </row>
    <row r="120" ht="15.75" customHeight="1">
      <c r="B120" s="9"/>
      <c r="C120" s="10"/>
    </row>
    <row r="121" ht="15.75" customHeight="1">
      <c r="B121" s="9"/>
      <c r="C121" s="10"/>
    </row>
    <row r="122" ht="15.75" customHeight="1">
      <c r="B122" s="9"/>
      <c r="C122" s="10"/>
    </row>
    <row r="123" ht="15.75" customHeight="1">
      <c r="B123" s="9"/>
      <c r="C123" s="10"/>
    </row>
    <row r="124" ht="15.75" customHeight="1">
      <c r="B124" s="9"/>
      <c r="C124" s="10"/>
    </row>
    <row r="125" ht="15.75" customHeight="1">
      <c r="B125" s="9"/>
      <c r="C125" s="10"/>
    </row>
    <row r="126" ht="15.75" customHeight="1">
      <c r="B126" s="9"/>
      <c r="C126" s="10"/>
    </row>
    <row r="127" ht="15.75" customHeight="1">
      <c r="B127" s="9"/>
      <c r="C127" s="10"/>
    </row>
    <row r="128" ht="15.75" customHeight="1">
      <c r="B128" s="9"/>
      <c r="C128" s="10"/>
    </row>
    <row r="129" ht="15.75" customHeight="1">
      <c r="B129" s="9"/>
      <c r="C129" s="10"/>
    </row>
    <row r="130" ht="15.75" customHeight="1">
      <c r="B130" s="9"/>
      <c r="C130" s="10"/>
    </row>
    <row r="131" ht="15.75" customHeight="1">
      <c r="B131" s="9"/>
      <c r="C131" s="10"/>
    </row>
    <row r="132" ht="15.75" customHeight="1">
      <c r="B132" s="9"/>
      <c r="C132" s="10"/>
    </row>
    <row r="133" ht="15.75" customHeight="1">
      <c r="B133" s="9"/>
      <c r="C133" s="10"/>
    </row>
    <row r="134" ht="15.75" customHeight="1">
      <c r="B134" s="9"/>
      <c r="C134" s="10"/>
    </row>
    <row r="135" ht="15.75" customHeight="1">
      <c r="B135" s="9"/>
      <c r="C135" s="10"/>
    </row>
    <row r="136" ht="15.75" customHeight="1">
      <c r="B136" s="9"/>
      <c r="C136" s="10"/>
    </row>
    <row r="137" ht="15.75" customHeight="1">
      <c r="B137" s="9"/>
      <c r="C137" s="10"/>
    </row>
    <row r="138" ht="15.75" customHeight="1">
      <c r="B138" s="9"/>
      <c r="C138" s="10"/>
    </row>
    <row r="139" ht="15.75" customHeight="1">
      <c r="B139" s="9"/>
      <c r="C139" s="10"/>
    </row>
    <row r="140" ht="15.75" customHeight="1">
      <c r="B140" s="9"/>
      <c r="C140" s="10"/>
    </row>
    <row r="141" ht="15.75" customHeight="1">
      <c r="B141" s="9"/>
      <c r="C141" s="10"/>
    </row>
    <row r="142" ht="15.75" customHeight="1">
      <c r="B142" s="9"/>
      <c r="C142" s="10"/>
    </row>
    <row r="143" ht="15.75" customHeight="1">
      <c r="B143" s="9"/>
      <c r="C143" s="10"/>
    </row>
    <row r="144" ht="15.75" customHeight="1">
      <c r="B144" s="9"/>
      <c r="C144" s="10"/>
    </row>
    <row r="145" ht="15.75" customHeight="1">
      <c r="B145" s="9"/>
      <c r="C145" s="10"/>
    </row>
    <row r="146" ht="15.75" customHeight="1">
      <c r="B146" s="9"/>
      <c r="C146" s="10"/>
    </row>
    <row r="147" ht="15.75" customHeight="1">
      <c r="B147" s="9"/>
      <c r="C147" s="10"/>
    </row>
    <row r="148" ht="15.75" customHeight="1">
      <c r="B148" s="9"/>
      <c r="C148" s="10"/>
    </row>
    <row r="149" ht="15.75" customHeight="1">
      <c r="B149" s="9"/>
      <c r="C149" s="10"/>
    </row>
    <row r="150" ht="15.75" customHeight="1">
      <c r="B150" s="9"/>
      <c r="C150" s="10"/>
    </row>
    <row r="151" ht="15.75" customHeight="1">
      <c r="B151" s="9"/>
      <c r="C151" s="10"/>
    </row>
    <row r="152" ht="15.75" customHeight="1">
      <c r="B152" s="9"/>
      <c r="C152" s="10"/>
    </row>
    <row r="153" ht="15.75" customHeight="1">
      <c r="B153" s="9"/>
      <c r="C153" s="10"/>
    </row>
    <row r="154" ht="15.75" customHeight="1">
      <c r="B154" s="9"/>
      <c r="C154" s="10"/>
    </row>
    <row r="155" ht="15.75" customHeight="1">
      <c r="B155" s="9"/>
      <c r="C155" s="10"/>
    </row>
    <row r="156" ht="15.75" customHeight="1">
      <c r="B156" s="9"/>
      <c r="C156" s="10"/>
    </row>
    <row r="157" ht="15.75" customHeight="1">
      <c r="B157" s="9"/>
      <c r="C157" s="10"/>
    </row>
    <row r="158" ht="15.75" customHeight="1">
      <c r="B158" s="9"/>
      <c r="C158" s="10"/>
    </row>
    <row r="159" ht="15.75" customHeight="1">
      <c r="B159" s="9"/>
      <c r="C159" s="10"/>
    </row>
    <row r="160" ht="15.75" customHeight="1">
      <c r="B160" s="9"/>
      <c r="C160" s="10"/>
    </row>
    <row r="161" ht="15.75" customHeight="1">
      <c r="B161" s="9"/>
      <c r="C161" s="10"/>
    </row>
    <row r="162" ht="15.75" customHeight="1">
      <c r="B162" s="9"/>
      <c r="C162" s="10"/>
    </row>
    <row r="163" ht="15.75" customHeight="1">
      <c r="B163" s="9"/>
      <c r="C163" s="10"/>
    </row>
    <row r="164" ht="15.75" customHeight="1">
      <c r="B164" s="9"/>
      <c r="C164" s="10"/>
    </row>
    <row r="165" ht="15.75" customHeight="1">
      <c r="B165" s="9"/>
      <c r="C165" s="10"/>
    </row>
    <row r="166" ht="15.75" customHeight="1">
      <c r="B166" s="9"/>
      <c r="C166" s="10"/>
    </row>
    <row r="167" ht="15.75" customHeight="1">
      <c r="B167" s="9"/>
      <c r="C167" s="10"/>
    </row>
    <row r="168" ht="15.75" customHeight="1">
      <c r="B168" s="9"/>
      <c r="C168" s="10"/>
    </row>
    <row r="169" ht="15.75" customHeight="1">
      <c r="B169" s="9"/>
      <c r="C169" s="10"/>
    </row>
    <row r="170" ht="15.75" customHeight="1">
      <c r="B170" s="9"/>
      <c r="C170" s="10"/>
    </row>
    <row r="171" ht="15.75" customHeight="1">
      <c r="B171" s="9"/>
      <c r="C171" s="10"/>
    </row>
    <row r="172" ht="15.75" customHeight="1">
      <c r="B172" s="9"/>
      <c r="C172" s="10"/>
    </row>
    <row r="173" ht="15.75" customHeight="1">
      <c r="B173" s="9"/>
      <c r="C173" s="10"/>
    </row>
    <row r="174" ht="15.75" customHeight="1">
      <c r="B174" s="9"/>
      <c r="C174" s="10"/>
    </row>
    <row r="175" ht="15.75" customHeight="1">
      <c r="B175" s="9"/>
      <c r="C175" s="10"/>
    </row>
    <row r="176" ht="15.75" customHeight="1">
      <c r="B176" s="9"/>
      <c r="C176" s="10"/>
    </row>
    <row r="177" ht="15.75" customHeight="1">
      <c r="B177" s="9"/>
      <c r="C177" s="10"/>
    </row>
    <row r="178" ht="15.75" customHeight="1">
      <c r="B178" s="9"/>
      <c r="C178" s="10"/>
    </row>
    <row r="179" ht="15.75" customHeight="1">
      <c r="B179" s="9"/>
      <c r="C179" s="10"/>
    </row>
    <row r="180" ht="15.75" customHeight="1">
      <c r="B180" s="9"/>
      <c r="C180" s="10"/>
    </row>
    <row r="181" ht="15.75" customHeight="1">
      <c r="B181" s="9"/>
      <c r="C181" s="10"/>
    </row>
    <row r="182" ht="15.75" customHeight="1">
      <c r="B182" s="9"/>
      <c r="C182" s="10"/>
    </row>
    <row r="183" ht="15.75" customHeight="1">
      <c r="B183" s="9"/>
      <c r="C183" s="10"/>
    </row>
    <row r="184" ht="15.75" customHeight="1">
      <c r="B184" s="9"/>
      <c r="C184" s="10"/>
    </row>
    <row r="185" ht="15.75" customHeight="1">
      <c r="B185" s="9"/>
      <c r="C185" s="10"/>
    </row>
    <row r="186" ht="15.75" customHeight="1">
      <c r="B186" s="9"/>
      <c r="C186" s="10"/>
    </row>
    <row r="187" ht="15.75" customHeight="1">
      <c r="B187" s="9"/>
      <c r="C187" s="10"/>
    </row>
    <row r="188" ht="15.75" customHeight="1">
      <c r="B188" s="9"/>
      <c r="C188" s="10"/>
    </row>
    <row r="189" ht="15.75" customHeight="1">
      <c r="B189" s="9"/>
      <c r="C189" s="10"/>
    </row>
    <row r="190" ht="15.75" customHeight="1">
      <c r="B190" s="9"/>
      <c r="C190" s="10"/>
    </row>
    <row r="191" ht="15.75" customHeight="1">
      <c r="B191" s="9"/>
      <c r="C191" s="10"/>
    </row>
    <row r="192" ht="15.75" customHeight="1">
      <c r="B192" s="9"/>
      <c r="C192" s="10"/>
    </row>
    <row r="193" ht="15.75" customHeight="1">
      <c r="B193" s="9"/>
      <c r="C193" s="10"/>
    </row>
    <row r="194" ht="15.75" customHeight="1">
      <c r="B194" s="9"/>
      <c r="C194" s="10"/>
    </row>
    <row r="195" ht="15.75" customHeight="1">
      <c r="B195" s="9"/>
      <c r="C195" s="10"/>
    </row>
    <row r="196" ht="15.75" customHeight="1">
      <c r="B196" s="9"/>
      <c r="C196" s="10"/>
    </row>
    <row r="197" ht="15.75" customHeight="1">
      <c r="B197" s="9"/>
      <c r="C197" s="10"/>
    </row>
    <row r="198" ht="15.75" customHeight="1">
      <c r="B198" s="9"/>
      <c r="C198" s="10"/>
    </row>
    <row r="199" ht="15.75" customHeight="1">
      <c r="B199" s="9"/>
      <c r="C199" s="10"/>
    </row>
    <row r="200" ht="15.75" customHeight="1">
      <c r="B200" s="9"/>
      <c r="C200" s="10"/>
    </row>
    <row r="201" ht="15.75" customHeight="1">
      <c r="B201" s="9"/>
      <c r="C201" s="10"/>
    </row>
    <row r="202" ht="15.75" customHeight="1">
      <c r="B202" s="9"/>
      <c r="C202" s="10"/>
    </row>
    <row r="203" ht="15.75" customHeight="1">
      <c r="B203" s="9"/>
      <c r="C203" s="10"/>
    </row>
    <row r="204" ht="15.75" customHeight="1">
      <c r="B204" s="9"/>
      <c r="C204" s="10"/>
    </row>
    <row r="205" ht="15.75" customHeight="1">
      <c r="B205" s="9"/>
      <c r="C205" s="10"/>
    </row>
    <row r="206" ht="15.75" customHeight="1">
      <c r="B206" s="9"/>
      <c r="C206" s="10"/>
    </row>
    <row r="207" ht="15.75" customHeight="1">
      <c r="B207" s="9"/>
      <c r="C207" s="10"/>
    </row>
    <row r="208" ht="15.75" customHeight="1">
      <c r="B208" s="9"/>
      <c r="C208" s="10"/>
    </row>
    <row r="209" ht="15.75" customHeight="1">
      <c r="B209" s="9"/>
      <c r="C209" s="10"/>
    </row>
    <row r="210" ht="15.75" customHeight="1">
      <c r="B210" s="9"/>
      <c r="C210" s="10"/>
    </row>
    <row r="211" ht="15.75" customHeight="1">
      <c r="B211" s="9"/>
      <c r="C211" s="10"/>
    </row>
    <row r="212" ht="15.75" customHeight="1">
      <c r="B212" s="9"/>
      <c r="C212" s="10"/>
    </row>
    <row r="213" ht="15.75" customHeight="1">
      <c r="B213" s="9"/>
      <c r="C213" s="10"/>
    </row>
    <row r="214" ht="15.75" customHeight="1">
      <c r="B214" s="9"/>
      <c r="C214" s="10"/>
    </row>
    <row r="215" ht="15.75" customHeight="1">
      <c r="B215" s="9"/>
      <c r="C215" s="10"/>
    </row>
    <row r="216" ht="15.75" customHeight="1">
      <c r="B216" s="9"/>
      <c r="C216" s="10"/>
    </row>
    <row r="217" ht="15.75" customHeight="1">
      <c r="B217" s="9"/>
      <c r="C217" s="10"/>
    </row>
    <row r="218" ht="15.75" customHeight="1">
      <c r="B218" s="9"/>
      <c r="C218" s="10"/>
    </row>
    <row r="219" ht="15.75" customHeight="1">
      <c r="B219" s="9"/>
      <c r="C219" s="10"/>
    </row>
    <row r="220" ht="15.75" customHeight="1">
      <c r="B220" s="9"/>
      <c r="C220" s="10"/>
    </row>
    <row r="221" ht="15.75" customHeight="1">
      <c r="B221" s="9"/>
      <c r="C221" s="10"/>
    </row>
    <row r="222" ht="15.75" customHeight="1">
      <c r="B222" s="9"/>
      <c r="C222" s="10"/>
    </row>
    <row r="223" ht="15.75" customHeight="1">
      <c r="B223" s="9"/>
      <c r="C223" s="10"/>
    </row>
    <row r="224" ht="15.75" customHeight="1">
      <c r="B224" s="9"/>
      <c r="C224" s="10"/>
    </row>
    <row r="225" ht="15.75" customHeight="1">
      <c r="B225" s="9"/>
      <c r="C225" s="10"/>
    </row>
    <row r="226" ht="15.75" customHeight="1">
      <c r="B226" s="9"/>
      <c r="C226" s="10"/>
    </row>
    <row r="227" ht="15.75" customHeight="1">
      <c r="B227" s="9"/>
      <c r="C227" s="10"/>
    </row>
    <row r="228" ht="15.75" customHeight="1">
      <c r="B228" s="9"/>
      <c r="C228" s="10"/>
    </row>
    <row r="229" ht="15.75" customHeight="1">
      <c r="B229" s="9"/>
      <c r="C229" s="10"/>
    </row>
    <row r="230" ht="15.75" customHeight="1">
      <c r="B230" s="9"/>
      <c r="C230" s="10"/>
    </row>
    <row r="231" ht="15.75" customHeight="1">
      <c r="B231" s="9"/>
      <c r="C231" s="10"/>
    </row>
    <row r="232" ht="15.75" customHeight="1">
      <c r="B232" s="9"/>
      <c r="C232" s="10"/>
    </row>
    <row r="233" ht="15.75" customHeight="1">
      <c r="B233" s="9"/>
      <c r="C233" s="10"/>
    </row>
    <row r="234" ht="15.75" customHeight="1">
      <c r="B234" s="9"/>
      <c r="C234" s="10"/>
    </row>
    <row r="235" ht="15.75" customHeight="1">
      <c r="B235" s="9"/>
      <c r="C235" s="10"/>
    </row>
    <row r="236" ht="15.75" customHeight="1">
      <c r="B236" s="9"/>
      <c r="C236" s="10"/>
    </row>
    <row r="237" ht="15.75" customHeight="1">
      <c r="B237" s="9"/>
      <c r="C237" s="10"/>
    </row>
    <row r="238" ht="15.75" customHeight="1">
      <c r="B238" s="9"/>
      <c r="C238" s="10"/>
    </row>
    <row r="239" ht="15.75" customHeight="1">
      <c r="B239" s="9"/>
      <c r="C239" s="10"/>
    </row>
    <row r="240" ht="15.75" customHeight="1">
      <c r="B240" s="9"/>
      <c r="C240" s="10"/>
    </row>
    <row r="241" ht="15.75" customHeight="1">
      <c r="B241" s="9"/>
      <c r="C241" s="10"/>
    </row>
    <row r="242" ht="15.75" customHeight="1">
      <c r="B242" s="9"/>
      <c r="C242" s="10"/>
    </row>
    <row r="243" ht="15.75" customHeight="1">
      <c r="B243" s="9"/>
      <c r="C243" s="10"/>
    </row>
    <row r="244" ht="15.75" customHeight="1">
      <c r="B244" s="9"/>
      <c r="C244" s="10"/>
    </row>
    <row r="245" ht="15.75" customHeight="1">
      <c r="B245" s="9"/>
      <c r="C245" s="10"/>
    </row>
    <row r="246" ht="15.75" customHeight="1">
      <c r="B246" s="9"/>
      <c r="C246" s="10"/>
    </row>
    <row r="247" ht="15.75" customHeight="1">
      <c r="B247" s="9"/>
      <c r="C247" s="10"/>
    </row>
    <row r="248" ht="15.75" customHeight="1">
      <c r="B248" s="9"/>
      <c r="C248" s="10"/>
    </row>
    <row r="249" ht="15.75" customHeight="1">
      <c r="B249" s="9"/>
      <c r="C249" s="10"/>
    </row>
    <row r="250" ht="15.75" customHeight="1">
      <c r="B250" s="9"/>
      <c r="C250" s="10"/>
    </row>
    <row r="251" ht="15.75" customHeight="1">
      <c r="B251" s="9"/>
      <c r="C251" s="10"/>
    </row>
    <row r="252" ht="15.75" customHeight="1">
      <c r="B252" s="9"/>
      <c r="C252" s="10"/>
    </row>
    <row r="253" ht="15.75" customHeight="1">
      <c r="B253" s="9"/>
      <c r="C253" s="10"/>
    </row>
    <row r="254" ht="15.75" customHeight="1">
      <c r="B254" s="9"/>
      <c r="C254" s="10"/>
    </row>
    <row r="255" ht="15.75" customHeight="1">
      <c r="B255" s="9"/>
      <c r="C255" s="10"/>
    </row>
    <row r="256" ht="15.75" customHeight="1">
      <c r="B256" s="9"/>
      <c r="C256" s="10"/>
    </row>
    <row r="257" ht="15.75" customHeight="1">
      <c r="B257" s="9"/>
      <c r="C257" s="10"/>
    </row>
    <row r="258" ht="15.75" customHeight="1">
      <c r="B258" s="9"/>
      <c r="C258" s="10"/>
    </row>
    <row r="259" ht="15.75" customHeight="1">
      <c r="B259" s="9"/>
      <c r="C259" s="10"/>
    </row>
    <row r="260" ht="15.75" customHeight="1">
      <c r="B260" s="9"/>
      <c r="C260" s="10"/>
    </row>
    <row r="261" ht="15.75" customHeight="1">
      <c r="B261" s="9"/>
      <c r="C261" s="10"/>
    </row>
    <row r="262" ht="15.75" customHeight="1">
      <c r="B262" s="9"/>
      <c r="C262" s="10"/>
    </row>
    <row r="263" ht="15.75" customHeight="1">
      <c r="B263" s="9"/>
      <c r="C263" s="10"/>
    </row>
    <row r="264" ht="15.75" customHeight="1">
      <c r="B264" s="9"/>
      <c r="C264" s="10"/>
    </row>
    <row r="265" ht="15.75" customHeight="1">
      <c r="B265" s="9"/>
      <c r="C265" s="10"/>
    </row>
    <row r="266" ht="15.75" customHeight="1">
      <c r="B266" s="9"/>
      <c r="C266" s="10"/>
    </row>
    <row r="267" ht="15.75" customHeight="1">
      <c r="B267" s="9"/>
      <c r="C267" s="10"/>
    </row>
    <row r="268" ht="15.75" customHeight="1">
      <c r="B268" s="9"/>
      <c r="C268" s="10"/>
    </row>
    <row r="269" ht="15.75" customHeight="1">
      <c r="B269" s="9"/>
      <c r="C269" s="10"/>
    </row>
    <row r="270" ht="15.75" customHeight="1">
      <c r="B270" s="9"/>
      <c r="C270" s="10"/>
    </row>
    <row r="271" ht="15.75" customHeight="1">
      <c r="B271" s="9"/>
      <c r="C271" s="10"/>
    </row>
    <row r="272" ht="15.75" customHeight="1">
      <c r="B272" s="9"/>
      <c r="C272" s="10"/>
    </row>
    <row r="273" ht="15.75" customHeight="1">
      <c r="B273" s="9"/>
      <c r="C273" s="10"/>
    </row>
    <row r="274" ht="15.75" customHeight="1">
      <c r="B274" s="9"/>
      <c r="C274" s="10"/>
    </row>
    <row r="275" ht="15.75" customHeight="1">
      <c r="B275" s="9"/>
      <c r="C275" s="10"/>
    </row>
    <row r="276" ht="15.75" customHeight="1">
      <c r="B276" s="9"/>
      <c r="C276" s="10"/>
    </row>
    <row r="277" ht="15.75" customHeight="1">
      <c r="B277" s="9"/>
      <c r="C277" s="10"/>
    </row>
    <row r="278" ht="15.75" customHeight="1">
      <c r="B278" s="9"/>
      <c r="C278" s="10"/>
    </row>
    <row r="279" ht="15.75" customHeight="1">
      <c r="B279" s="9"/>
      <c r="C279" s="10"/>
    </row>
    <row r="280" ht="15.75" customHeight="1">
      <c r="B280" s="9"/>
      <c r="C280" s="10"/>
    </row>
    <row r="281" ht="15.75" customHeight="1">
      <c r="B281" s="9"/>
      <c r="C281" s="10"/>
    </row>
    <row r="282" ht="15.75" customHeight="1">
      <c r="B282" s="9"/>
      <c r="C282" s="10"/>
    </row>
    <row r="283" ht="15.75" customHeight="1">
      <c r="B283" s="9"/>
      <c r="C283" s="10"/>
    </row>
    <row r="284" ht="15.75" customHeight="1">
      <c r="B284" s="9"/>
      <c r="C284" s="10"/>
    </row>
    <row r="285" ht="15.75" customHeight="1">
      <c r="B285" s="9"/>
      <c r="C285" s="10"/>
    </row>
    <row r="286" ht="15.75" customHeight="1">
      <c r="B286" s="9"/>
      <c r="C286" s="10"/>
    </row>
    <row r="287" ht="15.75" customHeight="1">
      <c r="B287" s="9"/>
      <c r="C287" s="10"/>
    </row>
    <row r="288" ht="15.75" customHeight="1">
      <c r="B288" s="9"/>
      <c r="C288" s="10"/>
    </row>
    <row r="289" ht="15.75" customHeight="1">
      <c r="B289" s="9"/>
      <c r="C289" s="10"/>
    </row>
    <row r="290" ht="15.75" customHeight="1">
      <c r="B290" s="9"/>
      <c r="C290" s="10"/>
    </row>
    <row r="291" ht="15.75" customHeight="1">
      <c r="B291" s="9"/>
      <c r="C291" s="10"/>
    </row>
    <row r="292" ht="15.75" customHeight="1">
      <c r="B292" s="9"/>
      <c r="C292" s="10"/>
    </row>
    <row r="293" ht="15.75" customHeight="1">
      <c r="B293" s="9"/>
      <c r="C293" s="10"/>
    </row>
    <row r="294" ht="15.75" customHeight="1">
      <c r="B294" s="9"/>
      <c r="C294" s="10"/>
    </row>
    <row r="295" ht="15.75" customHeight="1">
      <c r="B295" s="9"/>
      <c r="C295" s="10"/>
    </row>
    <row r="296" ht="15.75" customHeight="1">
      <c r="B296" s="9"/>
      <c r="C296" s="10"/>
    </row>
    <row r="297" ht="15.75" customHeight="1">
      <c r="B297" s="9"/>
      <c r="C297" s="10"/>
    </row>
    <row r="298" ht="15.75" customHeight="1">
      <c r="B298" s="9"/>
      <c r="C298" s="10"/>
    </row>
    <row r="299" ht="15.75" customHeight="1">
      <c r="B299" s="9"/>
      <c r="C299" s="10"/>
    </row>
    <row r="300" ht="15.75" customHeight="1">
      <c r="B300" s="9"/>
      <c r="C300" s="10"/>
    </row>
    <row r="301" ht="15.75" customHeight="1">
      <c r="B301" s="9"/>
      <c r="C301" s="10"/>
    </row>
    <row r="302" ht="15.75" customHeight="1">
      <c r="B302" s="9"/>
      <c r="C302" s="10"/>
    </row>
    <row r="303" ht="15.75" customHeight="1">
      <c r="B303" s="9"/>
      <c r="C303" s="10"/>
    </row>
    <row r="304" ht="15.75" customHeight="1">
      <c r="B304" s="9"/>
      <c r="C304" s="10"/>
    </row>
    <row r="305" ht="15.75" customHeight="1">
      <c r="B305" s="9"/>
      <c r="C305" s="10"/>
    </row>
    <row r="306" ht="15.75" customHeight="1">
      <c r="B306" s="9"/>
      <c r="C306" s="10"/>
    </row>
    <row r="307" ht="15.75" customHeight="1">
      <c r="B307" s="9"/>
      <c r="C307" s="10"/>
    </row>
    <row r="308" ht="15.75" customHeight="1">
      <c r="B308" s="9"/>
      <c r="C308" s="10"/>
    </row>
    <row r="309" ht="15.75" customHeight="1">
      <c r="B309" s="9"/>
      <c r="C309" s="10"/>
    </row>
    <row r="310" ht="15.75" customHeight="1">
      <c r="B310" s="9"/>
      <c r="C310" s="10"/>
    </row>
    <row r="311" ht="15.75" customHeight="1">
      <c r="B311" s="9"/>
      <c r="C311" s="10"/>
    </row>
    <row r="312" ht="15.75" customHeight="1">
      <c r="B312" s="9"/>
      <c r="C312" s="10"/>
    </row>
    <row r="313" ht="15.75" customHeight="1">
      <c r="B313" s="9"/>
      <c r="C313" s="10"/>
    </row>
    <row r="314" ht="15.75" customHeight="1">
      <c r="B314" s="9"/>
      <c r="C314" s="10"/>
    </row>
    <row r="315" ht="15.75" customHeight="1">
      <c r="B315" s="9"/>
      <c r="C315" s="10"/>
    </row>
    <row r="316" ht="15.75" customHeight="1">
      <c r="B316" s="9"/>
      <c r="C316" s="10"/>
    </row>
    <row r="317" ht="15.75" customHeight="1">
      <c r="B317" s="9"/>
      <c r="C317" s="10"/>
    </row>
    <row r="318" ht="15.75" customHeight="1">
      <c r="B318" s="9"/>
      <c r="C318" s="10"/>
    </row>
    <row r="319" ht="15.75" customHeight="1">
      <c r="B319" s="9"/>
      <c r="C319" s="10"/>
    </row>
    <row r="320" ht="15.75" customHeight="1">
      <c r="B320" s="9"/>
      <c r="C320" s="10"/>
    </row>
    <row r="321" ht="15.75" customHeight="1">
      <c r="B321" s="9"/>
      <c r="C321" s="10"/>
    </row>
    <row r="322" ht="15.75" customHeight="1">
      <c r="B322" s="9"/>
      <c r="C322" s="10"/>
    </row>
    <row r="323" ht="15.75" customHeight="1">
      <c r="B323" s="9"/>
      <c r="C323" s="10"/>
    </row>
    <row r="324" ht="15.75" customHeight="1">
      <c r="B324" s="9"/>
      <c r="C324" s="10"/>
    </row>
    <row r="325" ht="15.75" customHeight="1">
      <c r="B325" s="9"/>
      <c r="C325" s="10"/>
    </row>
    <row r="326" ht="15.75" customHeight="1">
      <c r="B326" s="9"/>
      <c r="C326" s="10"/>
    </row>
    <row r="327" ht="15.75" customHeight="1">
      <c r="B327" s="9"/>
      <c r="C327" s="10"/>
    </row>
    <row r="328" ht="15.75" customHeight="1">
      <c r="B328" s="9"/>
      <c r="C328" s="10"/>
    </row>
    <row r="329" ht="15.75" customHeight="1">
      <c r="B329" s="9"/>
      <c r="C329" s="10"/>
    </row>
    <row r="330" ht="15.75" customHeight="1">
      <c r="B330" s="9"/>
      <c r="C330" s="10"/>
    </row>
    <row r="331" ht="15.75" customHeight="1">
      <c r="B331" s="9"/>
      <c r="C331" s="10"/>
    </row>
    <row r="332" ht="15.75" customHeight="1">
      <c r="B332" s="9"/>
      <c r="C332" s="10"/>
    </row>
    <row r="333" ht="15.75" customHeight="1">
      <c r="B333" s="9"/>
      <c r="C333" s="10"/>
    </row>
    <row r="334" ht="15.75" customHeight="1">
      <c r="B334" s="9"/>
      <c r="C334" s="10"/>
    </row>
    <row r="335" ht="15.75" customHeight="1">
      <c r="B335" s="9"/>
      <c r="C335" s="10"/>
    </row>
    <row r="336" ht="15.75" customHeight="1">
      <c r="B336" s="9"/>
      <c r="C336" s="10"/>
    </row>
    <row r="337" ht="15.75" customHeight="1">
      <c r="B337" s="9"/>
      <c r="C337" s="10"/>
    </row>
    <row r="338" ht="15.75" customHeight="1">
      <c r="B338" s="9"/>
      <c r="C338" s="10"/>
    </row>
    <row r="339" ht="15.75" customHeight="1">
      <c r="B339" s="9"/>
      <c r="C339" s="10"/>
    </row>
    <row r="340" ht="15.75" customHeight="1">
      <c r="B340" s="9"/>
      <c r="C340" s="10"/>
    </row>
    <row r="341" ht="15.75" customHeight="1">
      <c r="B341" s="9"/>
      <c r="C341" s="10"/>
    </row>
    <row r="342" ht="15.75" customHeight="1">
      <c r="B342" s="9"/>
      <c r="C342" s="10"/>
    </row>
    <row r="343" ht="15.75" customHeight="1">
      <c r="B343" s="9"/>
      <c r="C343" s="10"/>
    </row>
    <row r="344" ht="15.75" customHeight="1">
      <c r="B344" s="9"/>
      <c r="C344" s="10"/>
    </row>
    <row r="345" ht="15.75" customHeight="1">
      <c r="B345" s="9"/>
      <c r="C345" s="10"/>
    </row>
    <row r="346" ht="15.75" customHeight="1">
      <c r="B346" s="9"/>
      <c r="C346" s="10"/>
    </row>
    <row r="347" ht="15.75" customHeight="1">
      <c r="B347" s="9"/>
      <c r="C347" s="10"/>
    </row>
    <row r="348" ht="15.75" customHeight="1">
      <c r="B348" s="9"/>
      <c r="C348" s="10"/>
    </row>
    <row r="349" ht="15.75" customHeight="1">
      <c r="B349" s="9"/>
      <c r="C349" s="10"/>
    </row>
    <row r="350" ht="15.75" customHeight="1">
      <c r="B350" s="9"/>
      <c r="C350" s="10"/>
    </row>
    <row r="351" ht="15.75" customHeight="1">
      <c r="B351" s="9"/>
      <c r="C351" s="10"/>
    </row>
    <row r="352" ht="15.75" customHeight="1">
      <c r="B352" s="9"/>
      <c r="C352" s="10"/>
    </row>
    <row r="353" ht="15.75" customHeight="1">
      <c r="B353" s="9"/>
      <c r="C353" s="10"/>
    </row>
    <row r="354" ht="15.75" customHeight="1">
      <c r="B354" s="9"/>
      <c r="C354" s="10"/>
    </row>
    <row r="355" ht="15.75" customHeight="1">
      <c r="B355" s="9"/>
      <c r="C355" s="10"/>
    </row>
    <row r="356" ht="15.75" customHeight="1">
      <c r="B356" s="9"/>
      <c r="C356" s="10"/>
    </row>
    <row r="357" ht="15.75" customHeight="1">
      <c r="B357" s="9"/>
      <c r="C357" s="10"/>
    </row>
    <row r="358" ht="15.75" customHeight="1">
      <c r="B358" s="9"/>
      <c r="C358" s="10"/>
    </row>
    <row r="359" ht="15.75" customHeight="1">
      <c r="B359" s="9"/>
      <c r="C359" s="10"/>
    </row>
    <row r="360" ht="15.75" customHeight="1">
      <c r="B360" s="9"/>
      <c r="C360" s="10"/>
    </row>
    <row r="361" ht="15.75" customHeight="1">
      <c r="B361" s="9"/>
      <c r="C361" s="10"/>
    </row>
    <row r="362" ht="15.75" customHeight="1">
      <c r="B362" s="9"/>
      <c r="C362" s="10"/>
    </row>
    <row r="363" ht="15.75" customHeight="1">
      <c r="B363" s="9"/>
      <c r="C363" s="10"/>
    </row>
    <row r="364" ht="15.75" customHeight="1">
      <c r="B364" s="9"/>
      <c r="C364" s="10"/>
    </row>
    <row r="365" ht="15.75" customHeight="1">
      <c r="B365" s="9"/>
      <c r="C365" s="10"/>
    </row>
    <row r="366" ht="15.75" customHeight="1">
      <c r="B366" s="9"/>
      <c r="C366" s="10"/>
    </row>
    <row r="367" ht="15.75" customHeight="1">
      <c r="B367" s="9"/>
      <c r="C367" s="10"/>
    </row>
    <row r="368" ht="15.75" customHeight="1">
      <c r="B368" s="9"/>
      <c r="C368" s="10"/>
    </row>
    <row r="369" ht="15.75" customHeight="1">
      <c r="B369" s="9"/>
      <c r="C369" s="10"/>
    </row>
    <row r="370" ht="15.75" customHeight="1">
      <c r="B370" s="9"/>
      <c r="C370" s="10"/>
    </row>
    <row r="371" ht="15.75" customHeight="1">
      <c r="B371" s="9"/>
      <c r="C371" s="10"/>
    </row>
    <row r="372" ht="15.75" customHeight="1">
      <c r="B372" s="9"/>
      <c r="C372" s="10"/>
    </row>
    <row r="373" ht="15.75" customHeight="1">
      <c r="B373" s="9"/>
      <c r="C373" s="10"/>
    </row>
    <row r="374" ht="15.75" customHeight="1">
      <c r="B374" s="9"/>
      <c r="C374" s="10"/>
    </row>
    <row r="375" ht="15.75" customHeight="1">
      <c r="B375" s="9"/>
      <c r="C375" s="10"/>
    </row>
    <row r="376" ht="15.75" customHeight="1">
      <c r="B376" s="9"/>
      <c r="C376" s="10"/>
    </row>
    <row r="377" ht="15.75" customHeight="1">
      <c r="B377" s="9"/>
      <c r="C377" s="10"/>
    </row>
    <row r="378" ht="15.75" customHeight="1">
      <c r="B378" s="9"/>
      <c r="C378" s="10"/>
    </row>
    <row r="379" ht="15.75" customHeight="1">
      <c r="B379" s="9"/>
      <c r="C379" s="10"/>
    </row>
    <row r="380" ht="15.75" customHeight="1">
      <c r="B380" s="9"/>
      <c r="C380" s="10"/>
    </row>
    <row r="381" ht="15.75" customHeight="1">
      <c r="B381" s="9"/>
      <c r="C381" s="10"/>
    </row>
    <row r="382" ht="15.75" customHeight="1">
      <c r="B382" s="9"/>
      <c r="C382" s="10"/>
    </row>
    <row r="383" ht="15.75" customHeight="1">
      <c r="B383" s="9"/>
      <c r="C383" s="10"/>
    </row>
    <row r="384" ht="15.75" customHeight="1">
      <c r="B384" s="9"/>
      <c r="C384" s="10"/>
    </row>
    <row r="385" ht="15.75" customHeight="1">
      <c r="B385" s="9"/>
      <c r="C385" s="10"/>
    </row>
    <row r="386" ht="15.75" customHeight="1">
      <c r="B386" s="9"/>
      <c r="C386" s="10"/>
    </row>
    <row r="387" ht="15.75" customHeight="1">
      <c r="B387" s="9"/>
      <c r="C387" s="10"/>
    </row>
    <row r="388" ht="15.75" customHeight="1">
      <c r="B388" s="9"/>
      <c r="C388" s="10"/>
    </row>
    <row r="389" ht="15.75" customHeight="1">
      <c r="B389" s="9"/>
      <c r="C389" s="10"/>
    </row>
    <row r="390" ht="15.75" customHeight="1">
      <c r="B390" s="9"/>
      <c r="C390" s="10"/>
    </row>
    <row r="391" ht="15.75" customHeight="1">
      <c r="B391" s="9"/>
      <c r="C391" s="10"/>
    </row>
    <row r="392" ht="15.75" customHeight="1">
      <c r="B392" s="9"/>
      <c r="C392" s="10"/>
    </row>
    <row r="393" ht="15.75" customHeight="1">
      <c r="B393" s="9"/>
      <c r="C393" s="10"/>
    </row>
    <row r="394" ht="15.75" customHeight="1">
      <c r="B394" s="9"/>
      <c r="C394" s="10"/>
    </row>
    <row r="395" ht="15.75" customHeight="1">
      <c r="B395" s="9"/>
      <c r="C395" s="10"/>
    </row>
    <row r="396" ht="15.75" customHeight="1">
      <c r="B396" s="9"/>
      <c r="C396" s="10"/>
    </row>
    <row r="397" ht="15.75" customHeight="1">
      <c r="B397" s="9"/>
      <c r="C397" s="10"/>
    </row>
    <row r="398" ht="15.75" customHeight="1">
      <c r="B398" s="9"/>
      <c r="C398" s="10"/>
    </row>
    <row r="399" ht="15.75" customHeight="1">
      <c r="B399" s="9"/>
      <c r="C399" s="10"/>
    </row>
    <row r="400" ht="15.75" customHeight="1">
      <c r="B400" s="9"/>
      <c r="C400" s="10"/>
    </row>
    <row r="401" ht="15.75" customHeight="1">
      <c r="B401" s="9"/>
      <c r="C401" s="10"/>
    </row>
    <row r="402" ht="15.75" customHeight="1">
      <c r="B402" s="9"/>
      <c r="C402" s="10"/>
    </row>
    <row r="403" ht="15.75" customHeight="1">
      <c r="B403" s="9"/>
      <c r="C403" s="10"/>
    </row>
    <row r="404" ht="15.75" customHeight="1">
      <c r="B404" s="9"/>
      <c r="C404" s="10"/>
    </row>
    <row r="405" ht="15.75" customHeight="1">
      <c r="B405" s="9"/>
      <c r="C405" s="10"/>
    </row>
    <row r="406" ht="15.75" customHeight="1">
      <c r="B406" s="9"/>
      <c r="C406" s="10"/>
    </row>
    <row r="407" ht="15.75" customHeight="1">
      <c r="B407" s="9"/>
      <c r="C407" s="10"/>
    </row>
    <row r="408" ht="15.75" customHeight="1">
      <c r="B408" s="9"/>
      <c r="C408" s="10"/>
    </row>
    <row r="409" ht="15.75" customHeight="1">
      <c r="B409" s="9"/>
      <c r="C409" s="10"/>
    </row>
    <row r="410" ht="15.75" customHeight="1">
      <c r="B410" s="9"/>
      <c r="C410" s="10"/>
    </row>
    <row r="411" ht="15.75" customHeight="1">
      <c r="B411" s="9"/>
      <c r="C411" s="10"/>
    </row>
    <row r="412" ht="15.75" customHeight="1">
      <c r="B412" s="9"/>
      <c r="C412" s="10"/>
    </row>
    <row r="413" ht="15.75" customHeight="1">
      <c r="B413" s="9"/>
      <c r="C413" s="10"/>
    </row>
    <row r="414" ht="15.75" customHeight="1">
      <c r="B414" s="9"/>
      <c r="C414" s="10"/>
    </row>
    <row r="415" ht="15.75" customHeight="1">
      <c r="B415" s="9"/>
      <c r="C415" s="10"/>
    </row>
    <row r="416" ht="15.75" customHeight="1">
      <c r="B416" s="9"/>
      <c r="C416" s="10"/>
    </row>
    <row r="417" ht="15.75" customHeight="1">
      <c r="B417" s="9"/>
      <c r="C417" s="10"/>
    </row>
    <row r="418" ht="15.75" customHeight="1">
      <c r="B418" s="9"/>
      <c r="C418" s="10"/>
    </row>
    <row r="419" ht="15.75" customHeight="1">
      <c r="B419" s="9"/>
      <c r="C419" s="10"/>
    </row>
    <row r="420" ht="15.75" customHeight="1">
      <c r="B420" s="9"/>
      <c r="C420" s="10"/>
    </row>
    <row r="421" ht="15.75" customHeight="1">
      <c r="B421" s="9"/>
      <c r="C421" s="10"/>
    </row>
    <row r="422" ht="15.75" customHeight="1">
      <c r="B422" s="9"/>
      <c r="C422" s="10"/>
    </row>
    <row r="423" ht="15.75" customHeight="1">
      <c r="B423" s="9"/>
      <c r="C423" s="10"/>
    </row>
    <row r="424" ht="15.75" customHeight="1">
      <c r="B424" s="9"/>
      <c r="C424" s="10"/>
    </row>
    <row r="425" ht="15.75" customHeight="1">
      <c r="B425" s="9"/>
      <c r="C425" s="10"/>
    </row>
    <row r="426" ht="15.75" customHeight="1">
      <c r="B426" s="9"/>
      <c r="C426" s="10"/>
    </row>
    <row r="427" ht="15.75" customHeight="1">
      <c r="B427" s="9"/>
      <c r="C427" s="10"/>
    </row>
    <row r="428" ht="15.75" customHeight="1">
      <c r="B428" s="9"/>
      <c r="C428" s="10"/>
    </row>
    <row r="429" ht="15.75" customHeight="1">
      <c r="B429" s="9"/>
      <c r="C429" s="10"/>
    </row>
    <row r="430" ht="15.75" customHeight="1">
      <c r="B430" s="9"/>
      <c r="C430" s="10"/>
    </row>
    <row r="431" ht="15.75" customHeight="1">
      <c r="B431" s="9"/>
      <c r="C431" s="10"/>
    </row>
    <row r="432" ht="15.75" customHeight="1">
      <c r="B432" s="9"/>
      <c r="C432" s="10"/>
    </row>
    <row r="433" ht="15.75" customHeight="1">
      <c r="B433" s="9"/>
      <c r="C433" s="10"/>
    </row>
    <row r="434" ht="15.75" customHeight="1">
      <c r="B434" s="9"/>
      <c r="C434" s="10"/>
    </row>
    <row r="435" ht="15.75" customHeight="1">
      <c r="B435" s="9"/>
      <c r="C435" s="10"/>
    </row>
    <row r="436" ht="15.75" customHeight="1">
      <c r="B436" s="9"/>
      <c r="C436" s="10"/>
    </row>
    <row r="437" ht="15.75" customHeight="1">
      <c r="B437" s="9"/>
      <c r="C437" s="10"/>
    </row>
    <row r="438" ht="15.75" customHeight="1">
      <c r="B438" s="9"/>
      <c r="C438" s="10"/>
    </row>
    <row r="439" ht="15.75" customHeight="1">
      <c r="B439" s="9"/>
      <c r="C439" s="10"/>
    </row>
    <row r="440" ht="15.75" customHeight="1">
      <c r="B440" s="9"/>
      <c r="C440" s="10"/>
    </row>
    <row r="441" ht="15.75" customHeight="1">
      <c r="B441" s="9"/>
      <c r="C441" s="10"/>
    </row>
    <row r="442" ht="15.75" customHeight="1">
      <c r="B442" s="9"/>
      <c r="C442" s="10"/>
    </row>
    <row r="443" ht="15.75" customHeight="1">
      <c r="B443" s="9"/>
      <c r="C443" s="10"/>
    </row>
    <row r="444" ht="15.75" customHeight="1">
      <c r="B444" s="9"/>
      <c r="C444" s="10"/>
    </row>
    <row r="445" ht="15.75" customHeight="1">
      <c r="B445" s="9"/>
      <c r="C445" s="10"/>
    </row>
    <row r="446" ht="15.75" customHeight="1">
      <c r="B446" s="9"/>
      <c r="C446" s="10"/>
    </row>
    <row r="447" ht="15.75" customHeight="1">
      <c r="B447" s="9"/>
      <c r="C447" s="10"/>
    </row>
    <row r="448" ht="15.75" customHeight="1">
      <c r="B448" s="9"/>
      <c r="C448" s="10"/>
    </row>
    <row r="449" ht="15.75" customHeight="1">
      <c r="B449" s="9"/>
      <c r="C449" s="10"/>
    </row>
    <row r="450" ht="15.75" customHeight="1">
      <c r="B450" s="9"/>
      <c r="C450" s="10"/>
    </row>
    <row r="451" ht="15.75" customHeight="1">
      <c r="B451" s="9"/>
      <c r="C451" s="10"/>
    </row>
    <row r="452" ht="15.75" customHeight="1">
      <c r="B452" s="9"/>
      <c r="C452" s="10"/>
    </row>
    <row r="453" ht="15.75" customHeight="1">
      <c r="B453" s="9"/>
      <c r="C453" s="10"/>
    </row>
    <row r="454" ht="15.75" customHeight="1">
      <c r="B454" s="9"/>
      <c r="C454" s="10"/>
    </row>
    <row r="455" ht="15.75" customHeight="1">
      <c r="B455" s="9"/>
      <c r="C455" s="10"/>
    </row>
    <row r="456" ht="15.75" customHeight="1">
      <c r="B456" s="9"/>
      <c r="C456" s="10"/>
    </row>
    <row r="457" ht="15.75" customHeight="1">
      <c r="B457" s="9"/>
      <c r="C457" s="10"/>
    </row>
    <row r="458" ht="15.75" customHeight="1">
      <c r="B458" s="9"/>
      <c r="C458" s="10"/>
    </row>
    <row r="459" ht="15.75" customHeight="1">
      <c r="B459" s="9"/>
      <c r="C459" s="10"/>
    </row>
    <row r="460" ht="15.75" customHeight="1">
      <c r="B460" s="9"/>
      <c r="C460" s="10"/>
    </row>
    <row r="461" ht="15.75" customHeight="1">
      <c r="B461" s="9"/>
      <c r="C461" s="10"/>
    </row>
    <row r="462" ht="15.75" customHeight="1">
      <c r="B462" s="9"/>
      <c r="C462" s="10"/>
    </row>
    <row r="463" ht="15.75" customHeight="1">
      <c r="B463" s="9"/>
      <c r="C463" s="10"/>
    </row>
    <row r="464" ht="15.75" customHeight="1">
      <c r="B464" s="9"/>
      <c r="C464" s="10"/>
    </row>
    <row r="465" ht="15.75" customHeight="1">
      <c r="B465" s="9"/>
      <c r="C465" s="10"/>
    </row>
    <row r="466" ht="15.75" customHeight="1">
      <c r="B466" s="9"/>
      <c r="C466" s="10"/>
    </row>
    <row r="467" ht="15.75" customHeight="1">
      <c r="B467" s="9"/>
      <c r="C467" s="10"/>
    </row>
    <row r="468" ht="15.75" customHeight="1">
      <c r="B468" s="9"/>
      <c r="C468" s="10"/>
    </row>
    <row r="469" ht="15.75" customHeight="1">
      <c r="B469" s="9"/>
      <c r="C469" s="10"/>
    </row>
    <row r="470" ht="15.75" customHeight="1">
      <c r="B470" s="9"/>
      <c r="C470" s="10"/>
    </row>
    <row r="471" ht="15.75" customHeight="1">
      <c r="B471" s="9"/>
      <c r="C471" s="10"/>
    </row>
    <row r="472" ht="15.75" customHeight="1">
      <c r="B472" s="9"/>
      <c r="C472" s="10"/>
    </row>
    <row r="473" ht="15.75" customHeight="1">
      <c r="B473" s="9"/>
      <c r="C473" s="10"/>
    </row>
    <row r="474" ht="15.75" customHeight="1">
      <c r="B474" s="9"/>
      <c r="C474" s="10"/>
    </row>
    <row r="475" ht="15.75" customHeight="1">
      <c r="B475" s="9"/>
      <c r="C475" s="10"/>
    </row>
    <row r="476" ht="15.75" customHeight="1">
      <c r="B476" s="9"/>
      <c r="C476" s="10"/>
    </row>
    <row r="477" ht="15.75" customHeight="1">
      <c r="B477" s="9"/>
      <c r="C477" s="10"/>
    </row>
    <row r="478" ht="15.75" customHeight="1">
      <c r="B478" s="9"/>
      <c r="C478" s="10"/>
    </row>
    <row r="479" ht="15.75" customHeight="1">
      <c r="B479" s="9"/>
      <c r="C479" s="10"/>
    </row>
    <row r="480" ht="15.75" customHeight="1">
      <c r="B480" s="9"/>
      <c r="C480" s="10"/>
    </row>
    <row r="481" ht="15.75" customHeight="1">
      <c r="B481" s="9"/>
      <c r="C481" s="10"/>
    </row>
    <row r="482" ht="15.75" customHeight="1">
      <c r="B482" s="9"/>
      <c r="C482" s="10"/>
    </row>
    <row r="483" ht="15.75" customHeight="1">
      <c r="B483" s="9"/>
      <c r="C483" s="10"/>
    </row>
    <row r="484" ht="15.75" customHeight="1">
      <c r="B484" s="9"/>
      <c r="C484" s="10"/>
    </row>
    <row r="485" ht="15.75" customHeight="1">
      <c r="B485" s="9"/>
      <c r="C485" s="10"/>
    </row>
    <row r="486" ht="15.75" customHeight="1">
      <c r="B486" s="9"/>
      <c r="C486" s="10"/>
    </row>
    <row r="487" ht="15.75" customHeight="1">
      <c r="B487" s="9"/>
      <c r="C487" s="10"/>
    </row>
    <row r="488" ht="15.75" customHeight="1">
      <c r="B488" s="9"/>
      <c r="C488" s="10"/>
    </row>
    <row r="489" ht="15.75" customHeight="1">
      <c r="B489" s="9"/>
      <c r="C489" s="10"/>
    </row>
    <row r="490" ht="15.75" customHeight="1">
      <c r="B490" s="9"/>
      <c r="C490" s="10"/>
    </row>
    <row r="491" ht="15.75" customHeight="1">
      <c r="B491" s="9"/>
      <c r="C491" s="10"/>
    </row>
    <row r="492" ht="15.75" customHeight="1">
      <c r="B492" s="9"/>
      <c r="C492" s="10"/>
    </row>
    <row r="493" ht="15.75" customHeight="1">
      <c r="B493" s="9"/>
      <c r="C493" s="10"/>
    </row>
    <row r="494" ht="15.75" customHeight="1">
      <c r="B494" s="9"/>
      <c r="C494" s="10"/>
    </row>
    <row r="495" ht="15.75" customHeight="1">
      <c r="B495" s="9"/>
      <c r="C495" s="10"/>
    </row>
    <row r="496" ht="15.75" customHeight="1">
      <c r="B496" s="9"/>
      <c r="C496" s="10"/>
    </row>
    <row r="497" ht="15.75" customHeight="1">
      <c r="B497" s="9"/>
      <c r="C497" s="10"/>
    </row>
    <row r="498" ht="15.75" customHeight="1">
      <c r="B498" s="9"/>
      <c r="C498" s="10"/>
    </row>
    <row r="499" ht="15.75" customHeight="1">
      <c r="B499" s="9"/>
      <c r="C499" s="10"/>
    </row>
    <row r="500" ht="15.75" customHeight="1">
      <c r="B500" s="9"/>
      <c r="C500" s="10"/>
    </row>
    <row r="501" ht="15.75" customHeight="1">
      <c r="B501" s="9"/>
      <c r="C501" s="10"/>
    </row>
    <row r="502" ht="15.75" customHeight="1">
      <c r="B502" s="9"/>
      <c r="C502" s="10"/>
    </row>
    <row r="503" ht="15.75" customHeight="1">
      <c r="B503" s="9"/>
      <c r="C503" s="10"/>
    </row>
    <row r="504" ht="15.75" customHeight="1">
      <c r="B504" s="9"/>
      <c r="C504" s="10"/>
    </row>
    <row r="505" ht="15.75" customHeight="1">
      <c r="B505" s="9"/>
      <c r="C505" s="10"/>
    </row>
    <row r="506" ht="15.75" customHeight="1">
      <c r="B506" s="9"/>
      <c r="C506" s="10"/>
    </row>
    <row r="507" ht="15.75" customHeight="1">
      <c r="B507" s="9"/>
      <c r="C507" s="10"/>
    </row>
    <row r="508" ht="15.75" customHeight="1">
      <c r="B508" s="9"/>
      <c r="C508" s="10"/>
    </row>
    <row r="509" ht="15.75" customHeight="1">
      <c r="B509" s="9"/>
      <c r="C509" s="10"/>
    </row>
    <row r="510" ht="15.75" customHeight="1">
      <c r="B510" s="9"/>
      <c r="C510" s="10"/>
    </row>
    <row r="511" ht="15.75" customHeight="1">
      <c r="B511" s="9"/>
      <c r="C511" s="10"/>
    </row>
    <row r="512" ht="15.75" customHeight="1">
      <c r="B512" s="9"/>
      <c r="C512" s="10"/>
    </row>
    <row r="513" ht="15.75" customHeight="1">
      <c r="B513" s="9"/>
      <c r="C513" s="10"/>
    </row>
    <row r="514" ht="15.75" customHeight="1">
      <c r="B514" s="9"/>
      <c r="C514" s="10"/>
    </row>
    <row r="515" ht="15.75" customHeight="1">
      <c r="B515" s="9"/>
      <c r="C515" s="10"/>
    </row>
    <row r="516" ht="15.75" customHeight="1">
      <c r="B516" s="9"/>
      <c r="C516" s="10"/>
    </row>
    <row r="517" ht="15.75" customHeight="1">
      <c r="B517" s="9"/>
      <c r="C517" s="10"/>
    </row>
    <row r="518" ht="15.75" customHeight="1">
      <c r="B518" s="9"/>
      <c r="C518" s="10"/>
    </row>
    <row r="519" ht="15.75" customHeight="1">
      <c r="B519" s="9"/>
      <c r="C519" s="10"/>
    </row>
    <row r="520" ht="15.75" customHeight="1">
      <c r="B520" s="9"/>
      <c r="C520" s="10"/>
    </row>
    <row r="521" ht="15.75" customHeight="1">
      <c r="B521" s="9"/>
      <c r="C521" s="10"/>
    </row>
    <row r="522" ht="15.75" customHeight="1">
      <c r="B522" s="9"/>
      <c r="C522" s="10"/>
    </row>
    <row r="523" ht="15.75" customHeight="1">
      <c r="B523" s="9"/>
      <c r="C523" s="10"/>
    </row>
    <row r="524" ht="15.75" customHeight="1">
      <c r="B524" s="9"/>
      <c r="C524" s="10"/>
    </row>
    <row r="525" ht="15.75" customHeight="1">
      <c r="B525" s="9"/>
      <c r="C525" s="10"/>
    </row>
    <row r="526" ht="15.75" customHeight="1">
      <c r="B526" s="9"/>
      <c r="C526" s="10"/>
    </row>
    <row r="527" ht="15.75" customHeight="1">
      <c r="B527" s="9"/>
      <c r="C527" s="10"/>
    </row>
    <row r="528" ht="15.75" customHeight="1">
      <c r="B528" s="9"/>
      <c r="C528" s="10"/>
    </row>
    <row r="529" ht="15.75" customHeight="1">
      <c r="B529" s="9"/>
      <c r="C529" s="10"/>
    </row>
    <row r="530" ht="15.75" customHeight="1">
      <c r="B530" s="9"/>
      <c r="C530" s="10"/>
    </row>
    <row r="531" ht="15.75" customHeight="1">
      <c r="B531" s="9"/>
      <c r="C531" s="10"/>
    </row>
    <row r="532" ht="15.75" customHeight="1">
      <c r="B532" s="9"/>
      <c r="C532" s="10"/>
    </row>
    <row r="533" ht="15.75" customHeight="1">
      <c r="B533" s="9"/>
      <c r="C533" s="10"/>
    </row>
    <row r="534" ht="15.75" customHeight="1">
      <c r="B534" s="9"/>
      <c r="C534" s="10"/>
    </row>
    <row r="535" ht="15.75" customHeight="1">
      <c r="B535" s="9"/>
      <c r="C535" s="10"/>
    </row>
    <row r="536" ht="15.75" customHeight="1">
      <c r="B536" s="9"/>
      <c r="C536" s="10"/>
    </row>
    <row r="537" ht="15.75" customHeight="1">
      <c r="B537" s="9"/>
      <c r="C537" s="10"/>
    </row>
    <row r="538" ht="15.75" customHeight="1">
      <c r="B538" s="9"/>
      <c r="C538" s="10"/>
    </row>
    <row r="539" ht="15.75" customHeight="1">
      <c r="B539" s="9"/>
      <c r="C539" s="10"/>
    </row>
    <row r="540" ht="15.75" customHeight="1">
      <c r="B540" s="9"/>
      <c r="C540" s="10"/>
    </row>
    <row r="541" ht="15.75" customHeight="1">
      <c r="B541" s="9"/>
      <c r="C541" s="10"/>
    </row>
    <row r="542" ht="15.75" customHeight="1">
      <c r="B542" s="9"/>
      <c r="C542" s="10"/>
    </row>
    <row r="543" ht="15.75" customHeight="1">
      <c r="B543" s="9"/>
      <c r="C543" s="10"/>
    </row>
    <row r="544" ht="15.75" customHeight="1">
      <c r="B544" s="9"/>
      <c r="C544" s="10"/>
    </row>
    <row r="545" ht="15.75" customHeight="1">
      <c r="B545" s="9"/>
      <c r="C545" s="10"/>
    </row>
    <row r="546" ht="15.75" customHeight="1">
      <c r="B546" s="9"/>
      <c r="C546" s="10"/>
    </row>
    <row r="547" ht="15.75" customHeight="1">
      <c r="B547" s="9"/>
      <c r="C547" s="10"/>
    </row>
    <row r="548" ht="15.75" customHeight="1">
      <c r="B548" s="9"/>
      <c r="C548" s="10"/>
    </row>
    <row r="549" ht="15.75" customHeight="1">
      <c r="B549" s="9"/>
      <c r="C549" s="10"/>
    </row>
    <row r="550" ht="15.75" customHeight="1">
      <c r="B550" s="9"/>
      <c r="C550" s="10"/>
    </row>
    <row r="551" ht="15.75" customHeight="1">
      <c r="B551" s="9"/>
      <c r="C551" s="10"/>
    </row>
    <row r="552" ht="15.75" customHeight="1">
      <c r="B552" s="9"/>
      <c r="C552" s="10"/>
    </row>
    <row r="553" ht="15.75" customHeight="1">
      <c r="B553" s="9"/>
      <c r="C553" s="10"/>
    </row>
    <row r="554" ht="15.75" customHeight="1">
      <c r="B554" s="9"/>
      <c r="C554" s="10"/>
    </row>
    <row r="555" ht="15.75" customHeight="1">
      <c r="B555" s="9"/>
      <c r="C555" s="10"/>
    </row>
    <row r="556" ht="15.75" customHeight="1">
      <c r="B556" s="9"/>
      <c r="C556" s="10"/>
    </row>
    <row r="557" ht="15.75" customHeight="1">
      <c r="B557" s="9"/>
      <c r="C557" s="10"/>
    </row>
    <row r="558" ht="15.75" customHeight="1">
      <c r="B558" s="9"/>
      <c r="C558" s="10"/>
    </row>
    <row r="559" ht="15.75" customHeight="1">
      <c r="B559" s="9"/>
      <c r="C559" s="10"/>
    </row>
    <row r="560" ht="15.75" customHeight="1">
      <c r="B560" s="9"/>
      <c r="C560" s="10"/>
    </row>
    <row r="561" ht="15.75" customHeight="1">
      <c r="B561" s="9"/>
      <c r="C561" s="10"/>
    </row>
    <row r="562" ht="15.75" customHeight="1">
      <c r="B562" s="9"/>
      <c r="C562" s="10"/>
    </row>
    <row r="563" ht="15.75" customHeight="1">
      <c r="B563" s="9"/>
      <c r="C563" s="10"/>
    </row>
    <row r="564" ht="15.75" customHeight="1">
      <c r="B564" s="9"/>
      <c r="C564" s="10"/>
    </row>
    <row r="565" ht="15.75" customHeight="1">
      <c r="B565" s="9"/>
      <c r="C565" s="10"/>
    </row>
    <row r="566" ht="15.75" customHeight="1">
      <c r="B566" s="9"/>
      <c r="C566" s="10"/>
    </row>
    <row r="567" ht="15.75" customHeight="1">
      <c r="B567" s="9"/>
      <c r="C567" s="10"/>
    </row>
    <row r="568" ht="15.75" customHeight="1">
      <c r="B568" s="9"/>
      <c r="C568" s="10"/>
    </row>
    <row r="569" ht="15.75" customHeight="1">
      <c r="B569" s="9"/>
      <c r="C569" s="10"/>
    </row>
    <row r="570" ht="15.75" customHeight="1">
      <c r="B570" s="9"/>
      <c r="C570" s="10"/>
    </row>
    <row r="571" ht="15.75" customHeight="1">
      <c r="B571" s="9"/>
      <c r="C571" s="10"/>
    </row>
    <row r="572" ht="15.75" customHeight="1">
      <c r="B572" s="9"/>
      <c r="C572" s="10"/>
    </row>
    <row r="573" ht="15.75" customHeight="1">
      <c r="B573" s="9"/>
      <c r="C573" s="10"/>
    </row>
    <row r="574" ht="15.75" customHeight="1">
      <c r="B574" s="9"/>
      <c r="C574" s="10"/>
    </row>
    <row r="575" ht="15.75" customHeight="1">
      <c r="B575" s="9"/>
      <c r="C575" s="10"/>
    </row>
    <row r="576" ht="15.75" customHeight="1">
      <c r="B576" s="9"/>
      <c r="C576" s="10"/>
    </row>
    <row r="577" ht="15.75" customHeight="1">
      <c r="B577" s="9"/>
      <c r="C577" s="10"/>
    </row>
    <row r="578" ht="15.75" customHeight="1">
      <c r="B578" s="9"/>
      <c r="C578" s="10"/>
    </row>
    <row r="579" ht="15.75" customHeight="1">
      <c r="B579" s="9"/>
      <c r="C579" s="10"/>
    </row>
    <row r="580" ht="15.75" customHeight="1">
      <c r="B580" s="9"/>
      <c r="C580" s="10"/>
    </row>
    <row r="581" ht="15.75" customHeight="1">
      <c r="B581" s="9"/>
      <c r="C581" s="10"/>
    </row>
    <row r="582" ht="15.75" customHeight="1">
      <c r="B582" s="9"/>
      <c r="C582" s="10"/>
    </row>
    <row r="583" ht="15.75" customHeight="1">
      <c r="B583" s="9"/>
      <c r="C583" s="10"/>
    </row>
    <row r="584" ht="15.75" customHeight="1">
      <c r="B584" s="9"/>
      <c r="C584" s="10"/>
    </row>
    <row r="585" ht="15.75" customHeight="1">
      <c r="B585" s="9"/>
      <c r="C585" s="10"/>
    </row>
    <row r="586" ht="15.75" customHeight="1">
      <c r="B586" s="9"/>
      <c r="C586" s="10"/>
    </row>
    <row r="587" ht="15.75" customHeight="1">
      <c r="B587" s="9"/>
      <c r="C587" s="10"/>
    </row>
    <row r="588" ht="15.75" customHeight="1">
      <c r="B588" s="9"/>
      <c r="C588" s="10"/>
    </row>
    <row r="589" ht="15.75" customHeight="1">
      <c r="B589" s="9"/>
      <c r="C589" s="10"/>
    </row>
    <row r="590" ht="15.75" customHeight="1">
      <c r="B590" s="9"/>
      <c r="C590" s="10"/>
    </row>
    <row r="591" ht="15.75" customHeight="1">
      <c r="B591" s="9"/>
      <c r="C591" s="10"/>
    </row>
    <row r="592" ht="15.75" customHeight="1">
      <c r="B592" s="9"/>
      <c r="C592" s="10"/>
    </row>
    <row r="593" ht="15.75" customHeight="1">
      <c r="B593" s="9"/>
      <c r="C593" s="10"/>
    </row>
    <row r="594" ht="15.75" customHeight="1">
      <c r="B594" s="9"/>
      <c r="C594" s="10"/>
    </row>
    <row r="595" ht="15.75" customHeight="1">
      <c r="B595" s="9"/>
      <c r="C595" s="10"/>
    </row>
    <row r="596" ht="15.75" customHeight="1">
      <c r="B596" s="9"/>
      <c r="C596" s="10"/>
    </row>
    <row r="597" ht="15.75" customHeight="1">
      <c r="B597" s="9"/>
      <c r="C597" s="10"/>
    </row>
    <row r="598" ht="15.75" customHeight="1">
      <c r="B598" s="9"/>
      <c r="C598" s="10"/>
    </row>
    <row r="599" ht="15.75" customHeight="1">
      <c r="B599" s="9"/>
      <c r="C599" s="10"/>
    </row>
    <row r="600" ht="15.75" customHeight="1">
      <c r="B600" s="9"/>
      <c r="C600" s="10"/>
    </row>
    <row r="601" ht="15.75" customHeight="1">
      <c r="B601" s="9"/>
      <c r="C601" s="10"/>
    </row>
    <row r="602" ht="15.75" customHeight="1">
      <c r="B602" s="9"/>
      <c r="C602" s="10"/>
    </row>
    <row r="603" ht="15.75" customHeight="1">
      <c r="B603" s="9"/>
      <c r="C603" s="10"/>
    </row>
    <row r="604" ht="15.75" customHeight="1">
      <c r="B604" s="9"/>
      <c r="C604" s="10"/>
    </row>
    <row r="605" ht="15.75" customHeight="1">
      <c r="B605" s="9"/>
      <c r="C605" s="10"/>
    </row>
    <row r="606" ht="15.75" customHeight="1">
      <c r="B606" s="9"/>
      <c r="C606" s="10"/>
    </row>
    <row r="607" ht="15.75" customHeight="1">
      <c r="B607" s="9"/>
      <c r="C607" s="10"/>
    </row>
    <row r="608" ht="15.75" customHeight="1">
      <c r="B608" s="9"/>
      <c r="C608" s="10"/>
    </row>
    <row r="609" ht="15.75" customHeight="1">
      <c r="B609" s="9"/>
      <c r="C609" s="10"/>
    </row>
    <row r="610" ht="15.75" customHeight="1">
      <c r="B610" s="9"/>
      <c r="C610" s="10"/>
    </row>
    <row r="611" ht="15.75" customHeight="1">
      <c r="B611" s="9"/>
      <c r="C611" s="10"/>
    </row>
    <row r="612" ht="15.75" customHeight="1">
      <c r="B612" s="9"/>
      <c r="C612" s="10"/>
    </row>
    <row r="613" ht="15.75" customHeight="1">
      <c r="B613" s="9"/>
      <c r="C613" s="10"/>
    </row>
    <row r="614" ht="15.75" customHeight="1">
      <c r="B614" s="9"/>
      <c r="C614" s="10"/>
    </row>
    <row r="615" ht="15.75" customHeight="1">
      <c r="B615" s="9"/>
      <c r="C615" s="10"/>
    </row>
    <row r="616" ht="15.75" customHeight="1">
      <c r="B616" s="9"/>
      <c r="C616" s="10"/>
    </row>
    <row r="617" ht="15.75" customHeight="1">
      <c r="B617" s="9"/>
      <c r="C617" s="10"/>
    </row>
    <row r="618" ht="15.75" customHeight="1">
      <c r="B618" s="9"/>
      <c r="C618" s="10"/>
    </row>
    <row r="619" ht="15.75" customHeight="1">
      <c r="B619" s="9"/>
      <c r="C619" s="10"/>
    </row>
    <row r="620" ht="15.75" customHeight="1">
      <c r="B620" s="9"/>
      <c r="C620" s="10"/>
    </row>
    <row r="621" ht="15.75" customHeight="1">
      <c r="B621" s="9"/>
      <c r="C621" s="10"/>
    </row>
    <row r="622" ht="15.75" customHeight="1">
      <c r="B622" s="9"/>
      <c r="C622" s="10"/>
    </row>
    <row r="623" ht="15.75" customHeight="1">
      <c r="B623" s="9"/>
      <c r="C623" s="10"/>
    </row>
    <row r="624" ht="15.75" customHeight="1">
      <c r="B624" s="9"/>
      <c r="C624" s="10"/>
    </row>
    <row r="625" ht="15.75" customHeight="1">
      <c r="B625" s="9"/>
      <c r="C625" s="10"/>
    </row>
    <row r="626" ht="15.75" customHeight="1">
      <c r="B626" s="9"/>
      <c r="C626" s="10"/>
    </row>
    <row r="627" ht="15.75" customHeight="1">
      <c r="B627" s="9"/>
      <c r="C627" s="10"/>
    </row>
    <row r="628" ht="15.75" customHeight="1">
      <c r="B628" s="9"/>
      <c r="C628" s="10"/>
    </row>
    <row r="629" ht="15.75" customHeight="1">
      <c r="B629" s="9"/>
      <c r="C629" s="10"/>
    </row>
    <row r="630" ht="15.75" customHeight="1">
      <c r="B630" s="9"/>
      <c r="C630" s="10"/>
    </row>
    <row r="631" ht="15.75" customHeight="1">
      <c r="B631" s="9"/>
      <c r="C631" s="10"/>
    </row>
    <row r="632" ht="15.75" customHeight="1">
      <c r="B632" s="9"/>
      <c r="C632" s="10"/>
    </row>
    <row r="633" ht="15.75" customHeight="1">
      <c r="B633" s="9"/>
      <c r="C633" s="10"/>
    </row>
    <row r="634" ht="15.75" customHeight="1">
      <c r="B634" s="9"/>
      <c r="C634" s="10"/>
    </row>
    <row r="635" ht="15.75" customHeight="1">
      <c r="B635" s="9"/>
      <c r="C635" s="10"/>
    </row>
    <row r="636" ht="15.75" customHeight="1">
      <c r="B636" s="9"/>
      <c r="C636" s="10"/>
    </row>
    <row r="637" ht="15.75" customHeight="1">
      <c r="B637" s="9"/>
      <c r="C637" s="10"/>
    </row>
    <row r="638" ht="15.75" customHeight="1">
      <c r="B638" s="9"/>
      <c r="C638" s="10"/>
    </row>
    <row r="639" ht="15.75" customHeight="1">
      <c r="B639" s="9"/>
      <c r="C639" s="10"/>
    </row>
    <row r="640" ht="15.75" customHeight="1">
      <c r="B640" s="9"/>
      <c r="C640" s="10"/>
    </row>
    <row r="641" ht="15.75" customHeight="1">
      <c r="B641" s="9"/>
      <c r="C641" s="10"/>
    </row>
    <row r="642" ht="15.75" customHeight="1">
      <c r="B642" s="9"/>
      <c r="C642" s="10"/>
    </row>
    <row r="643" ht="15.75" customHeight="1">
      <c r="B643" s="9"/>
      <c r="C643" s="10"/>
    </row>
    <row r="644" ht="15.75" customHeight="1">
      <c r="B644" s="9"/>
      <c r="C644" s="10"/>
    </row>
    <row r="645" ht="15.75" customHeight="1">
      <c r="B645" s="9"/>
      <c r="C645" s="10"/>
    </row>
    <row r="646" ht="15.75" customHeight="1">
      <c r="B646" s="9"/>
      <c r="C646" s="10"/>
    </row>
    <row r="647" ht="15.75" customHeight="1">
      <c r="B647" s="9"/>
      <c r="C647" s="10"/>
    </row>
    <row r="648" ht="15.75" customHeight="1">
      <c r="B648" s="9"/>
      <c r="C648" s="10"/>
    </row>
    <row r="649" ht="15.75" customHeight="1">
      <c r="B649" s="9"/>
      <c r="C649" s="10"/>
    </row>
    <row r="650" ht="15.75" customHeight="1">
      <c r="B650" s="9"/>
      <c r="C650" s="10"/>
    </row>
    <row r="651" ht="15.75" customHeight="1">
      <c r="B651" s="9"/>
      <c r="C651" s="10"/>
    </row>
    <row r="652" ht="15.75" customHeight="1">
      <c r="B652" s="9"/>
      <c r="C652" s="10"/>
    </row>
    <row r="653" ht="15.75" customHeight="1">
      <c r="B653" s="9"/>
      <c r="C653" s="10"/>
    </row>
    <row r="654" ht="15.75" customHeight="1">
      <c r="B654" s="9"/>
      <c r="C654" s="10"/>
    </row>
    <row r="655" ht="15.75" customHeight="1">
      <c r="B655" s="9"/>
      <c r="C655" s="10"/>
    </row>
    <row r="656" ht="15.75" customHeight="1">
      <c r="B656" s="9"/>
      <c r="C656" s="10"/>
    </row>
    <row r="657" ht="15.75" customHeight="1">
      <c r="B657" s="9"/>
      <c r="C657" s="10"/>
    </row>
    <row r="658" ht="15.75" customHeight="1">
      <c r="B658" s="9"/>
      <c r="C658" s="10"/>
    </row>
    <row r="659" ht="15.75" customHeight="1">
      <c r="B659" s="9"/>
      <c r="C659" s="10"/>
    </row>
    <row r="660" ht="15.75" customHeight="1">
      <c r="B660" s="9"/>
      <c r="C660" s="10"/>
    </row>
    <row r="661" ht="15.75" customHeight="1">
      <c r="B661" s="9"/>
      <c r="C661" s="10"/>
    </row>
    <row r="662" ht="15.75" customHeight="1">
      <c r="B662" s="9"/>
      <c r="C662" s="10"/>
    </row>
    <row r="663" ht="15.75" customHeight="1">
      <c r="B663" s="9"/>
      <c r="C663" s="10"/>
    </row>
    <row r="664" ht="15.75" customHeight="1">
      <c r="B664" s="9"/>
      <c r="C664" s="10"/>
    </row>
    <row r="665" ht="15.75" customHeight="1">
      <c r="B665" s="9"/>
      <c r="C665" s="10"/>
    </row>
    <row r="666" ht="15.75" customHeight="1">
      <c r="B666" s="9"/>
      <c r="C666" s="10"/>
    </row>
    <row r="667" ht="15.75" customHeight="1">
      <c r="B667" s="9"/>
      <c r="C667" s="10"/>
    </row>
    <row r="668" ht="15.75" customHeight="1">
      <c r="B668" s="9"/>
      <c r="C668" s="10"/>
    </row>
    <row r="669" ht="15.75" customHeight="1">
      <c r="B669" s="9"/>
      <c r="C669" s="10"/>
    </row>
    <row r="670" ht="15.75" customHeight="1">
      <c r="B670" s="9"/>
      <c r="C670" s="10"/>
    </row>
    <row r="671" ht="15.75" customHeight="1">
      <c r="B671" s="9"/>
      <c r="C671" s="10"/>
    </row>
    <row r="672" ht="15.75" customHeight="1">
      <c r="B672" s="9"/>
      <c r="C672" s="10"/>
    </row>
    <row r="673" ht="15.75" customHeight="1">
      <c r="B673" s="9"/>
      <c r="C673" s="10"/>
    </row>
    <row r="674" ht="15.75" customHeight="1">
      <c r="B674" s="9"/>
      <c r="C674" s="10"/>
    </row>
    <row r="675" ht="15.75" customHeight="1">
      <c r="B675" s="9"/>
      <c r="C675" s="10"/>
    </row>
    <row r="676" ht="15.75" customHeight="1">
      <c r="B676" s="9"/>
      <c r="C676" s="10"/>
    </row>
    <row r="677" ht="15.75" customHeight="1">
      <c r="B677" s="9"/>
      <c r="C677" s="10"/>
    </row>
    <row r="678" ht="15.75" customHeight="1">
      <c r="B678" s="9"/>
      <c r="C678" s="10"/>
    </row>
    <row r="679" ht="15.75" customHeight="1">
      <c r="B679" s="9"/>
      <c r="C679" s="10"/>
    </row>
    <row r="680" ht="15.75" customHeight="1">
      <c r="B680" s="9"/>
      <c r="C680" s="10"/>
    </row>
    <row r="681" ht="15.75" customHeight="1">
      <c r="B681" s="9"/>
      <c r="C681" s="10"/>
    </row>
    <row r="682" ht="15.75" customHeight="1">
      <c r="B682" s="9"/>
      <c r="C682" s="10"/>
    </row>
    <row r="683" ht="15.75" customHeight="1">
      <c r="B683" s="9"/>
      <c r="C683" s="10"/>
    </row>
    <row r="684" ht="15.75" customHeight="1">
      <c r="B684" s="9"/>
      <c r="C684" s="10"/>
    </row>
    <row r="685" ht="15.75" customHeight="1">
      <c r="B685" s="9"/>
      <c r="C685" s="10"/>
    </row>
    <row r="686" ht="15.75" customHeight="1">
      <c r="B686" s="9"/>
      <c r="C686" s="10"/>
    </row>
    <row r="687" ht="15.75" customHeight="1">
      <c r="B687" s="9"/>
      <c r="C687" s="10"/>
    </row>
    <row r="688" ht="15.75" customHeight="1">
      <c r="B688" s="9"/>
      <c r="C688" s="10"/>
    </row>
    <row r="689" ht="15.75" customHeight="1">
      <c r="B689" s="9"/>
      <c r="C689" s="10"/>
    </row>
    <row r="690" ht="15.75" customHeight="1">
      <c r="B690" s="9"/>
      <c r="C690" s="10"/>
    </row>
    <row r="691" ht="15.75" customHeight="1">
      <c r="B691" s="9"/>
      <c r="C691" s="10"/>
    </row>
    <row r="692" ht="15.75" customHeight="1">
      <c r="B692" s="9"/>
      <c r="C692" s="10"/>
    </row>
    <row r="693" ht="15.75" customHeight="1">
      <c r="B693" s="9"/>
      <c r="C693" s="10"/>
    </row>
    <row r="694" ht="15.75" customHeight="1">
      <c r="B694" s="9"/>
      <c r="C694" s="10"/>
    </row>
    <row r="695" ht="15.75" customHeight="1">
      <c r="B695" s="9"/>
      <c r="C695" s="10"/>
    </row>
    <row r="696" ht="15.75" customHeight="1">
      <c r="B696" s="9"/>
      <c r="C696" s="10"/>
    </row>
    <row r="697" ht="15.75" customHeight="1">
      <c r="B697" s="9"/>
      <c r="C697" s="10"/>
    </row>
    <row r="698" ht="15.75" customHeight="1">
      <c r="B698" s="9"/>
      <c r="C698" s="10"/>
    </row>
    <row r="699" ht="15.75" customHeight="1">
      <c r="B699" s="9"/>
      <c r="C699" s="10"/>
    </row>
    <row r="700" ht="15.75" customHeight="1">
      <c r="B700" s="9"/>
      <c r="C700" s="10"/>
    </row>
    <row r="701" ht="15.75" customHeight="1">
      <c r="B701" s="9"/>
      <c r="C701" s="10"/>
    </row>
    <row r="702" ht="15.75" customHeight="1">
      <c r="B702" s="9"/>
      <c r="C702" s="10"/>
    </row>
    <row r="703" ht="15.75" customHeight="1">
      <c r="B703" s="9"/>
      <c r="C703" s="10"/>
    </row>
    <row r="704" ht="15.75" customHeight="1">
      <c r="B704" s="9"/>
      <c r="C704" s="10"/>
    </row>
    <row r="705" ht="15.75" customHeight="1">
      <c r="B705" s="9"/>
      <c r="C705" s="10"/>
    </row>
    <row r="706" ht="15.75" customHeight="1">
      <c r="B706" s="9"/>
      <c r="C706" s="10"/>
    </row>
    <row r="707" ht="15.75" customHeight="1">
      <c r="B707" s="9"/>
      <c r="C707" s="10"/>
    </row>
    <row r="708" ht="15.75" customHeight="1">
      <c r="B708" s="9"/>
      <c r="C708" s="10"/>
    </row>
    <row r="709" ht="15.75" customHeight="1">
      <c r="B709" s="9"/>
      <c r="C709" s="10"/>
    </row>
    <row r="710" ht="15.75" customHeight="1">
      <c r="B710" s="9"/>
      <c r="C710" s="10"/>
    </row>
    <row r="711" ht="15.75" customHeight="1">
      <c r="B711" s="9"/>
      <c r="C711" s="10"/>
    </row>
    <row r="712" ht="15.75" customHeight="1">
      <c r="B712" s="9"/>
      <c r="C712" s="10"/>
    </row>
    <row r="713" ht="15.75" customHeight="1">
      <c r="B713" s="9"/>
      <c r="C713" s="10"/>
    </row>
    <row r="714" ht="15.75" customHeight="1">
      <c r="B714" s="9"/>
      <c r="C714" s="10"/>
    </row>
    <row r="715" ht="15.75" customHeight="1">
      <c r="B715" s="9"/>
      <c r="C715" s="10"/>
    </row>
    <row r="716" ht="15.75" customHeight="1">
      <c r="B716" s="9"/>
      <c r="C716" s="10"/>
    </row>
    <row r="717" ht="15.75" customHeight="1">
      <c r="B717" s="9"/>
      <c r="C717" s="10"/>
    </row>
    <row r="718" ht="15.75" customHeight="1">
      <c r="B718" s="9"/>
      <c r="C718" s="10"/>
    </row>
    <row r="719" ht="15.75" customHeight="1">
      <c r="B719" s="9"/>
      <c r="C719" s="10"/>
    </row>
    <row r="720" ht="15.75" customHeight="1">
      <c r="B720" s="9"/>
      <c r="C720" s="10"/>
    </row>
    <row r="721" ht="15.75" customHeight="1">
      <c r="B721" s="9"/>
      <c r="C721" s="10"/>
    </row>
    <row r="722" ht="15.75" customHeight="1">
      <c r="B722" s="9"/>
      <c r="C722" s="10"/>
    </row>
    <row r="723" ht="15.75" customHeight="1">
      <c r="B723" s="9"/>
      <c r="C723" s="10"/>
    </row>
    <row r="724" ht="15.75" customHeight="1">
      <c r="B724" s="9"/>
      <c r="C724" s="10"/>
    </row>
    <row r="725" ht="15.75" customHeight="1">
      <c r="B725" s="9"/>
      <c r="C725" s="10"/>
    </row>
    <row r="726" ht="15.75" customHeight="1">
      <c r="B726" s="9"/>
      <c r="C726" s="10"/>
    </row>
    <row r="727" ht="15.75" customHeight="1">
      <c r="B727" s="9"/>
      <c r="C727" s="10"/>
    </row>
    <row r="728" ht="15.75" customHeight="1">
      <c r="B728" s="9"/>
      <c r="C728" s="10"/>
    </row>
    <row r="729" ht="15.75" customHeight="1">
      <c r="B729" s="9"/>
      <c r="C729" s="10"/>
    </row>
    <row r="730" ht="15.75" customHeight="1">
      <c r="B730" s="9"/>
      <c r="C730" s="10"/>
    </row>
    <row r="731" ht="15.75" customHeight="1">
      <c r="B731" s="9"/>
      <c r="C731" s="10"/>
    </row>
    <row r="732" ht="15.75" customHeight="1">
      <c r="B732" s="9"/>
      <c r="C732" s="10"/>
    </row>
    <row r="733" ht="15.75" customHeight="1">
      <c r="B733" s="9"/>
      <c r="C733" s="10"/>
    </row>
    <row r="734" ht="15.75" customHeight="1">
      <c r="B734" s="9"/>
      <c r="C734" s="10"/>
    </row>
    <row r="735" ht="15.75" customHeight="1">
      <c r="B735" s="9"/>
      <c r="C735" s="10"/>
    </row>
    <row r="736" ht="15.75" customHeight="1">
      <c r="B736" s="9"/>
      <c r="C736" s="10"/>
    </row>
    <row r="737" ht="15.75" customHeight="1">
      <c r="B737" s="9"/>
      <c r="C737" s="10"/>
    </row>
    <row r="738" ht="15.75" customHeight="1">
      <c r="B738" s="9"/>
      <c r="C738" s="10"/>
    </row>
    <row r="739" ht="15.75" customHeight="1">
      <c r="B739" s="9"/>
      <c r="C739" s="10"/>
    </row>
    <row r="740" ht="15.75" customHeight="1">
      <c r="B740" s="9"/>
      <c r="C740" s="10"/>
    </row>
    <row r="741" ht="15.75" customHeight="1">
      <c r="B741" s="9"/>
      <c r="C741" s="10"/>
    </row>
    <row r="742" ht="15.75" customHeight="1">
      <c r="B742" s="9"/>
      <c r="C742" s="10"/>
    </row>
    <row r="743" ht="15.75" customHeight="1">
      <c r="B743" s="9"/>
      <c r="C743" s="10"/>
    </row>
    <row r="744" ht="15.75" customHeight="1">
      <c r="B744" s="9"/>
      <c r="C744" s="10"/>
    </row>
    <row r="745" ht="15.75" customHeight="1">
      <c r="B745" s="9"/>
      <c r="C745" s="10"/>
    </row>
    <row r="746" ht="15.75" customHeight="1">
      <c r="B746" s="9"/>
      <c r="C746" s="10"/>
    </row>
    <row r="747" ht="15.75" customHeight="1">
      <c r="B747" s="9"/>
      <c r="C747" s="10"/>
    </row>
    <row r="748" ht="15.75" customHeight="1">
      <c r="B748" s="9"/>
      <c r="C748" s="10"/>
    </row>
    <row r="749" ht="15.75" customHeight="1">
      <c r="B749" s="9"/>
      <c r="C749" s="10"/>
    </row>
    <row r="750" ht="15.75" customHeight="1">
      <c r="B750" s="9"/>
      <c r="C750" s="10"/>
    </row>
    <row r="751" ht="15.75" customHeight="1">
      <c r="B751" s="9"/>
      <c r="C751" s="10"/>
    </row>
    <row r="752" ht="15.75" customHeight="1">
      <c r="B752" s="9"/>
      <c r="C752" s="10"/>
    </row>
    <row r="753" ht="15.75" customHeight="1">
      <c r="B753" s="9"/>
      <c r="C753" s="10"/>
    </row>
    <row r="754" ht="15.75" customHeight="1">
      <c r="B754" s="9"/>
      <c r="C754" s="10"/>
    </row>
    <row r="755" ht="15.75" customHeight="1">
      <c r="B755" s="9"/>
      <c r="C755" s="10"/>
    </row>
    <row r="756" ht="15.75" customHeight="1">
      <c r="B756" s="9"/>
      <c r="C756" s="10"/>
    </row>
    <row r="757" ht="15.75" customHeight="1">
      <c r="B757" s="9"/>
      <c r="C757" s="10"/>
    </row>
    <row r="758" ht="15.75" customHeight="1">
      <c r="B758" s="9"/>
      <c r="C758" s="10"/>
    </row>
    <row r="759" ht="15.75" customHeight="1">
      <c r="B759" s="9"/>
      <c r="C759" s="10"/>
    </row>
    <row r="760" ht="15.75" customHeight="1">
      <c r="B760" s="9"/>
      <c r="C760" s="10"/>
    </row>
    <row r="761" ht="15.75" customHeight="1">
      <c r="B761" s="9"/>
      <c r="C761" s="10"/>
    </row>
    <row r="762" ht="15.75" customHeight="1">
      <c r="B762" s="9"/>
      <c r="C762" s="10"/>
    </row>
    <row r="763" ht="15.75" customHeight="1">
      <c r="B763" s="9"/>
      <c r="C763" s="10"/>
    </row>
    <row r="764" ht="15.75" customHeight="1">
      <c r="B764" s="9"/>
      <c r="C764" s="10"/>
    </row>
    <row r="765" ht="15.75" customHeight="1">
      <c r="B765" s="9"/>
      <c r="C765" s="10"/>
    </row>
    <row r="766" ht="15.75" customHeight="1">
      <c r="B766" s="9"/>
      <c r="C766" s="10"/>
    </row>
    <row r="767" ht="15.75" customHeight="1">
      <c r="B767" s="9"/>
      <c r="C767" s="10"/>
    </row>
    <row r="768" ht="15.75" customHeight="1">
      <c r="B768" s="9"/>
      <c r="C768" s="10"/>
    </row>
    <row r="769" ht="15.75" customHeight="1">
      <c r="B769" s="9"/>
      <c r="C769" s="10"/>
    </row>
    <row r="770" ht="15.75" customHeight="1">
      <c r="B770" s="9"/>
      <c r="C770" s="10"/>
    </row>
    <row r="771" ht="15.75" customHeight="1">
      <c r="B771" s="9"/>
      <c r="C771" s="10"/>
    </row>
    <row r="772" ht="15.75" customHeight="1">
      <c r="B772" s="9"/>
      <c r="C772" s="10"/>
    </row>
    <row r="773" ht="15.75" customHeight="1">
      <c r="B773" s="9"/>
      <c r="C773" s="10"/>
    </row>
    <row r="774" ht="15.75" customHeight="1">
      <c r="B774" s="9"/>
      <c r="C774" s="10"/>
    </row>
    <row r="775" ht="15.75" customHeight="1">
      <c r="B775" s="9"/>
      <c r="C775" s="10"/>
    </row>
    <row r="776" ht="15.75" customHeight="1">
      <c r="B776" s="9"/>
      <c r="C776" s="10"/>
    </row>
    <row r="777" ht="15.75" customHeight="1">
      <c r="B777" s="9"/>
      <c r="C777" s="10"/>
    </row>
    <row r="778" ht="15.75" customHeight="1">
      <c r="B778" s="9"/>
      <c r="C778" s="10"/>
    </row>
    <row r="779" ht="15.75" customHeight="1">
      <c r="B779" s="9"/>
      <c r="C779" s="10"/>
    </row>
    <row r="780" ht="15.75" customHeight="1">
      <c r="B780" s="9"/>
      <c r="C780" s="10"/>
    </row>
    <row r="781" ht="15.75" customHeight="1">
      <c r="B781" s="9"/>
      <c r="C781" s="10"/>
    </row>
    <row r="782" ht="15.75" customHeight="1">
      <c r="B782" s="9"/>
      <c r="C782" s="10"/>
    </row>
    <row r="783" ht="15.75" customHeight="1">
      <c r="B783" s="9"/>
      <c r="C783" s="10"/>
    </row>
    <row r="784" ht="15.75" customHeight="1">
      <c r="B784" s="9"/>
      <c r="C784" s="10"/>
    </row>
    <row r="785" ht="15.75" customHeight="1">
      <c r="B785" s="9"/>
      <c r="C785" s="10"/>
    </row>
    <row r="786" ht="15.75" customHeight="1">
      <c r="B786" s="9"/>
      <c r="C786" s="10"/>
    </row>
    <row r="787" ht="15.75" customHeight="1">
      <c r="B787" s="9"/>
      <c r="C787" s="10"/>
    </row>
    <row r="788" ht="15.75" customHeight="1">
      <c r="B788" s="9"/>
      <c r="C788" s="10"/>
    </row>
    <row r="789" ht="15.75" customHeight="1">
      <c r="B789" s="9"/>
      <c r="C789" s="10"/>
    </row>
    <row r="790" ht="15.75" customHeight="1">
      <c r="B790" s="9"/>
      <c r="C790" s="10"/>
    </row>
    <row r="791" ht="15.75" customHeight="1">
      <c r="B791" s="9"/>
      <c r="C791" s="10"/>
    </row>
    <row r="792" ht="15.75" customHeight="1">
      <c r="B792" s="9"/>
      <c r="C792" s="10"/>
    </row>
    <row r="793" ht="15.75" customHeight="1">
      <c r="B793" s="9"/>
      <c r="C793" s="10"/>
    </row>
    <row r="794" ht="15.75" customHeight="1">
      <c r="B794" s="9"/>
      <c r="C794" s="10"/>
    </row>
    <row r="795" ht="15.75" customHeight="1">
      <c r="B795" s="9"/>
      <c r="C795" s="10"/>
    </row>
    <row r="796" ht="15.75" customHeight="1">
      <c r="B796" s="9"/>
      <c r="C796" s="10"/>
    </row>
    <row r="797" ht="15.75" customHeight="1">
      <c r="B797" s="9"/>
      <c r="C797" s="10"/>
    </row>
    <row r="798" ht="15.75" customHeight="1">
      <c r="B798" s="9"/>
      <c r="C798" s="10"/>
    </row>
    <row r="799" ht="15.75" customHeight="1">
      <c r="B799" s="9"/>
      <c r="C799" s="10"/>
    </row>
    <row r="800" ht="15.75" customHeight="1">
      <c r="B800" s="9"/>
      <c r="C800" s="10"/>
    </row>
    <row r="801" ht="15.75" customHeight="1">
      <c r="B801" s="9"/>
      <c r="C801" s="10"/>
    </row>
    <row r="802" ht="15.75" customHeight="1">
      <c r="B802" s="9"/>
      <c r="C802" s="10"/>
    </row>
    <row r="803" ht="15.75" customHeight="1">
      <c r="B803" s="9"/>
      <c r="C803" s="10"/>
    </row>
    <row r="804" ht="15.75" customHeight="1">
      <c r="B804" s="9"/>
      <c r="C804" s="10"/>
    </row>
    <row r="805" ht="15.75" customHeight="1">
      <c r="B805" s="9"/>
      <c r="C805" s="10"/>
    </row>
    <row r="806" ht="15.75" customHeight="1">
      <c r="B806" s="9"/>
      <c r="C806" s="10"/>
    </row>
    <row r="807" ht="15.75" customHeight="1">
      <c r="B807" s="9"/>
      <c r="C807" s="10"/>
    </row>
    <row r="808" ht="15.75" customHeight="1">
      <c r="B808" s="9"/>
      <c r="C808" s="10"/>
    </row>
    <row r="809" ht="15.75" customHeight="1">
      <c r="B809" s="9"/>
      <c r="C809" s="10"/>
    </row>
    <row r="810" ht="15.75" customHeight="1">
      <c r="B810" s="9"/>
      <c r="C810" s="10"/>
    </row>
    <row r="811" ht="15.75" customHeight="1">
      <c r="B811" s="9"/>
      <c r="C811" s="10"/>
    </row>
    <row r="812" ht="15.75" customHeight="1">
      <c r="B812" s="9"/>
      <c r="C812" s="10"/>
    </row>
    <row r="813" ht="15.75" customHeight="1">
      <c r="B813" s="9"/>
      <c r="C813" s="10"/>
    </row>
    <row r="814" ht="15.75" customHeight="1">
      <c r="B814" s="9"/>
      <c r="C814" s="10"/>
    </row>
    <row r="815" ht="15.75" customHeight="1">
      <c r="B815" s="9"/>
      <c r="C815" s="10"/>
    </row>
    <row r="816" ht="15.75" customHeight="1">
      <c r="B816" s="9"/>
      <c r="C816" s="10"/>
    </row>
    <row r="817" ht="15.75" customHeight="1">
      <c r="B817" s="9"/>
      <c r="C817" s="10"/>
    </row>
    <row r="818" ht="15.75" customHeight="1">
      <c r="B818" s="9"/>
      <c r="C818" s="10"/>
    </row>
    <row r="819" ht="15.75" customHeight="1">
      <c r="B819" s="9"/>
      <c r="C819" s="10"/>
    </row>
    <row r="820" ht="15.75" customHeight="1">
      <c r="B820" s="9"/>
      <c r="C820" s="10"/>
    </row>
    <row r="821" ht="15.75" customHeight="1">
      <c r="B821" s="9"/>
      <c r="C821" s="10"/>
    </row>
    <row r="822" ht="15.75" customHeight="1">
      <c r="B822" s="9"/>
      <c r="C822" s="10"/>
    </row>
    <row r="823" ht="15.75" customHeight="1">
      <c r="B823" s="9"/>
      <c r="C823" s="10"/>
    </row>
    <row r="824" ht="15.75" customHeight="1">
      <c r="B824" s="9"/>
      <c r="C824" s="10"/>
    </row>
    <row r="825" ht="15.75" customHeight="1">
      <c r="B825" s="9"/>
      <c r="C825" s="10"/>
    </row>
    <row r="826" ht="15.75" customHeight="1">
      <c r="B826" s="9"/>
      <c r="C826" s="10"/>
    </row>
    <row r="827" ht="15.75" customHeight="1">
      <c r="B827" s="9"/>
      <c r="C827" s="10"/>
    </row>
    <row r="828" ht="15.75" customHeight="1">
      <c r="B828" s="9"/>
      <c r="C828" s="10"/>
    </row>
    <row r="829" ht="15.75" customHeight="1">
      <c r="B829" s="9"/>
      <c r="C829" s="10"/>
    </row>
    <row r="830" ht="15.75" customHeight="1">
      <c r="B830" s="9"/>
      <c r="C830" s="10"/>
    </row>
    <row r="831" ht="15.75" customHeight="1">
      <c r="B831" s="9"/>
      <c r="C831" s="10"/>
    </row>
    <row r="832" ht="15.75" customHeight="1">
      <c r="B832" s="9"/>
      <c r="C832" s="10"/>
    </row>
    <row r="833" ht="15.75" customHeight="1">
      <c r="B833" s="9"/>
      <c r="C833" s="10"/>
    </row>
    <row r="834" ht="15.75" customHeight="1">
      <c r="B834" s="9"/>
      <c r="C834" s="10"/>
    </row>
    <row r="835" ht="15.75" customHeight="1">
      <c r="B835" s="9"/>
      <c r="C835" s="10"/>
    </row>
    <row r="836" ht="15.75" customHeight="1">
      <c r="B836" s="9"/>
      <c r="C836" s="10"/>
    </row>
    <row r="837" ht="15.75" customHeight="1">
      <c r="B837" s="9"/>
      <c r="C837" s="10"/>
    </row>
    <row r="838" ht="15.75" customHeight="1">
      <c r="B838" s="9"/>
      <c r="C838" s="10"/>
    </row>
    <row r="839" ht="15.75" customHeight="1">
      <c r="B839" s="9"/>
      <c r="C839" s="10"/>
    </row>
    <row r="840" ht="15.75" customHeight="1">
      <c r="B840" s="9"/>
      <c r="C840" s="10"/>
    </row>
    <row r="841" ht="15.75" customHeight="1">
      <c r="B841" s="9"/>
      <c r="C841" s="10"/>
    </row>
    <row r="842" ht="15.75" customHeight="1">
      <c r="B842" s="9"/>
      <c r="C842" s="10"/>
    </row>
    <row r="843" ht="15.75" customHeight="1">
      <c r="B843" s="9"/>
      <c r="C843" s="10"/>
    </row>
    <row r="844" ht="15.75" customHeight="1">
      <c r="B844" s="9"/>
      <c r="C844" s="10"/>
    </row>
    <row r="845" ht="15.75" customHeight="1">
      <c r="B845" s="9"/>
      <c r="C845" s="10"/>
    </row>
    <row r="846" ht="15.75" customHeight="1">
      <c r="B846" s="9"/>
      <c r="C846" s="10"/>
    </row>
    <row r="847" ht="15.75" customHeight="1">
      <c r="B847" s="9"/>
      <c r="C847" s="10"/>
    </row>
    <row r="848" ht="15.75" customHeight="1">
      <c r="B848" s="9"/>
      <c r="C848" s="10"/>
    </row>
    <row r="849" ht="15.75" customHeight="1">
      <c r="B849" s="9"/>
      <c r="C849" s="10"/>
    </row>
    <row r="850" ht="15.75" customHeight="1">
      <c r="B850" s="9"/>
      <c r="C850" s="10"/>
    </row>
    <row r="851" ht="15.75" customHeight="1">
      <c r="B851" s="9"/>
      <c r="C851" s="10"/>
    </row>
    <row r="852" ht="15.75" customHeight="1">
      <c r="B852" s="9"/>
      <c r="C852" s="10"/>
    </row>
    <row r="853" ht="15.75" customHeight="1">
      <c r="B853" s="9"/>
      <c r="C853" s="10"/>
    </row>
    <row r="854" ht="15.75" customHeight="1">
      <c r="B854" s="9"/>
      <c r="C854" s="10"/>
    </row>
    <row r="855" ht="15.75" customHeight="1">
      <c r="B855" s="9"/>
      <c r="C855" s="10"/>
    </row>
    <row r="856" ht="15.75" customHeight="1">
      <c r="B856" s="9"/>
      <c r="C856" s="10"/>
    </row>
    <row r="857" ht="15.75" customHeight="1">
      <c r="B857" s="9"/>
      <c r="C857" s="10"/>
    </row>
    <row r="858" ht="15.75" customHeight="1">
      <c r="B858" s="9"/>
      <c r="C858" s="10"/>
    </row>
    <row r="859" ht="15.75" customHeight="1">
      <c r="B859" s="9"/>
      <c r="C859" s="10"/>
    </row>
    <row r="860" ht="15.75" customHeight="1">
      <c r="B860" s="9"/>
      <c r="C860" s="10"/>
    </row>
    <row r="861" ht="15.75" customHeight="1">
      <c r="B861" s="9"/>
      <c r="C861" s="10"/>
    </row>
    <row r="862" ht="15.75" customHeight="1">
      <c r="B862" s="9"/>
      <c r="C862" s="10"/>
    </row>
    <row r="863" ht="15.75" customHeight="1">
      <c r="B863" s="9"/>
      <c r="C863" s="10"/>
    </row>
    <row r="864" ht="15.75" customHeight="1">
      <c r="B864" s="9"/>
      <c r="C864" s="10"/>
    </row>
    <row r="865" ht="15.75" customHeight="1">
      <c r="B865" s="9"/>
      <c r="C865" s="10"/>
    </row>
    <row r="866" ht="15.75" customHeight="1">
      <c r="B866" s="9"/>
      <c r="C866" s="10"/>
    </row>
    <row r="867" ht="15.75" customHeight="1">
      <c r="B867" s="9"/>
      <c r="C867" s="10"/>
    </row>
    <row r="868" ht="15.75" customHeight="1">
      <c r="B868" s="9"/>
      <c r="C868" s="10"/>
    </row>
    <row r="869" ht="15.75" customHeight="1">
      <c r="B869" s="9"/>
      <c r="C869" s="10"/>
    </row>
    <row r="870" ht="15.75" customHeight="1">
      <c r="B870" s="9"/>
      <c r="C870" s="10"/>
    </row>
    <row r="871" ht="15.75" customHeight="1">
      <c r="B871" s="9"/>
      <c r="C871" s="10"/>
    </row>
    <row r="872" ht="15.75" customHeight="1">
      <c r="B872" s="9"/>
      <c r="C872" s="10"/>
    </row>
    <row r="873" ht="15.75" customHeight="1">
      <c r="B873" s="9"/>
      <c r="C873" s="10"/>
    </row>
    <row r="874" ht="15.75" customHeight="1">
      <c r="B874" s="9"/>
      <c r="C874" s="10"/>
    </row>
    <row r="875" ht="15.75" customHeight="1">
      <c r="B875" s="9"/>
      <c r="C875" s="10"/>
    </row>
    <row r="876" ht="15.75" customHeight="1">
      <c r="B876" s="9"/>
      <c r="C876" s="10"/>
    </row>
    <row r="877" ht="15.75" customHeight="1">
      <c r="B877" s="9"/>
      <c r="C877" s="10"/>
    </row>
    <row r="878" ht="15.75" customHeight="1">
      <c r="B878" s="9"/>
      <c r="C878" s="10"/>
    </row>
    <row r="879" ht="15.75" customHeight="1">
      <c r="B879" s="9"/>
      <c r="C879" s="10"/>
    </row>
    <row r="880" ht="15.75" customHeight="1">
      <c r="B880" s="9"/>
      <c r="C880" s="10"/>
    </row>
    <row r="881" ht="15.75" customHeight="1">
      <c r="B881" s="9"/>
      <c r="C881" s="10"/>
    </row>
    <row r="882" ht="15.75" customHeight="1">
      <c r="B882" s="9"/>
      <c r="C882" s="10"/>
    </row>
    <row r="883" ht="15.75" customHeight="1">
      <c r="B883" s="9"/>
      <c r="C883" s="10"/>
    </row>
    <row r="884" ht="15.75" customHeight="1">
      <c r="B884" s="9"/>
      <c r="C884" s="10"/>
    </row>
    <row r="885" ht="15.75" customHeight="1">
      <c r="B885" s="9"/>
      <c r="C885" s="10"/>
    </row>
    <row r="886" ht="15.75" customHeight="1">
      <c r="B886" s="9"/>
      <c r="C886" s="10"/>
    </row>
    <row r="887" ht="15.75" customHeight="1">
      <c r="B887" s="9"/>
      <c r="C887" s="10"/>
    </row>
    <row r="888" ht="15.75" customHeight="1">
      <c r="B888" s="9"/>
      <c r="C888" s="10"/>
    </row>
    <row r="889" ht="15.75" customHeight="1">
      <c r="B889" s="9"/>
      <c r="C889" s="10"/>
    </row>
    <row r="890" ht="15.75" customHeight="1">
      <c r="B890" s="9"/>
      <c r="C890" s="10"/>
    </row>
    <row r="891" ht="15.75" customHeight="1">
      <c r="B891" s="9"/>
      <c r="C891" s="10"/>
    </row>
    <row r="892" ht="15.75" customHeight="1">
      <c r="B892" s="9"/>
      <c r="C892" s="10"/>
    </row>
    <row r="893" ht="15.75" customHeight="1">
      <c r="B893" s="9"/>
      <c r="C893" s="10"/>
    </row>
    <row r="894" ht="15.75" customHeight="1">
      <c r="B894" s="9"/>
      <c r="C894" s="10"/>
    </row>
    <row r="895" ht="15.75" customHeight="1">
      <c r="B895" s="9"/>
      <c r="C895" s="10"/>
    </row>
    <row r="896" ht="15.75" customHeight="1">
      <c r="B896" s="9"/>
      <c r="C896" s="10"/>
    </row>
    <row r="897" ht="15.75" customHeight="1">
      <c r="B897" s="9"/>
      <c r="C897" s="10"/>
    </row>
    <row r="898" ht="15.75" customHeight="1">
      <c r="B898" s="9"/>
      <c r="C898" s="10"/>
    </row>
    <row r="899" ht="15.75" customHeight="1">
      <c r="B899" s="9"/>
      <c r="C899" s="10"/>
    </row>
    <row r="900" ht="15.75" customHeight="1">
      <c r="B900" s="9"/>
      <c r="C900" s="10"/>
    </row>
    <row r="901" ht="15.75" customHeight="1">
      <c r="B901" s="9"/>
      <c r="C901" s="10"/>
    </row>
    <row r="902" ht="15.75" customHeight="1">
      <c r="B902" s="9"/>
      <c r="C902" s="10"/>
    </row>
    <row r="903" ht="15.75" customHeight="1">
      <c r="B903" s="9"/>
      <c r="C903" s="10"/>
    </row>
    <row r="904" ht="15.75" customHeight="1">
      <c r="B904" s="9"/>
      <c r="C904" s="10"/>
    </row>
    <row r="905" ht="15.75" customHeight="1">
      <c r="B905" s="9"/>
      <c r="C905" s="10"/>
    </row>
    <row r="906" ht="15.75" customHeight="1">
      <c r="B906" s="9"/>
      <c r="C906" s="10"/>
    </row>
    <row r="907" ht="15.75" customHeight="1">
      <c r="B907" s="9"/>
      <c r="C907" s="10"/>
    </row>
    <row r="908" ht="15.75" customHeight="1">
      <c r="B908" s="9"/>
      <c r="C908" s="10"/>
    </row>
    <row r="909" ht="15.75" customHeight="1">
      <c r="B909" s="9"/>
      <c r="C909" s="10"/>
    </row>
    <row r="910" ht="15.75" customHeight="1">
      <c r="B910" s="9"/>
      <c r="C910" s="10"/>
    </row>
    <row r="911" ht="15.75" customHeight="1">
      <c r="B911" s="9"/>
      <c r="C911" s="10"/>
    </row>
    <row r="912" ht="15.75" customHeight="1">
      <c r="B912" s="9"/>
      <c r="C912" s="10"/>
    </row>
    <row r="913" ht="15.75" customHeight="1">
      <c r="B913" s="9"/>
      <c r="C913" s="10"/>
    </row>
    <row r="914" ht="15.75" customHeight="1">
      <c r="B914" s="9"/>
      <c r="C914" s="10"/>
    </row>
    <row r="915" ht="15.75" customHeight="1">
      <c r="B915" s="9"/>
      <c r="C915" s="10"/>
    </row>
    <row r="916" ht="15.75" customHeight="1">
      <c r="B916" s="9"/>
      <c r="C916" s="10"/>
    </row>
    <row r="917" ht="15.75" customHeight="1">
      <c r="B917" s="9"/>
      <c r="C917" s="10"/>
    </row>
    <row r="918" ht="15.75" customHeight="1">
      <c r="B918" s="9"/>
      <c r="C918" s="10"/>
    </row>
    <row r="919" ht="15.75" customHeight="1">
      <c r="B919" s="9"/>
      <c r="C919" s="10"/>
    </row>
    <row r="920" ht="15.75" customHeight="1">
      <c r="B920" s="9"/>
      <c r="C920" s="10"/>
    </row>
    <row r="921" ht="15.75" customHeight="1">
      <c r="B921" s="9"/>
      <c r="C921" s="10"/>
    </row>
    <row r="922" ht="15.75" customHeight="1">
      <c r="B922" s="9"/>
      <c r="C922" s="10"/>
    </row>
    <row r="923" ht="15.75" customHeight="1">
      <c r="B923" s="9"/>
      <c r="C923" s="10"/>
    </row>
    <row r="924" ht="15.75" customHeight="1">
      <c r="B924" s="9"/>
      <c r="C924" s="10"/>
    </row>
    <row r="925" ht="15.75" customHeight="1">
      <c r="B925" s="9"/>
      <c r="C925" s="10"/>
    </row>
    <row r="926" ht="15.75" customHeight="1">
      <c r="B926" s="9"/>
      <c r="C926" s="10"/>
    </row>
    <row r="927" ht="15.75" customHeight="1">
      <c r="B927" s="9"/>
      <c r="C927" s="10"/>
    </row>
    <row r="928" ht="15.75" customHeight="1">
      <c r="B928" s="9"/>
      <c r="C928" s="10"/>
    </row>
    <row r="929" ht="15.75" customHeight="1">
      <c r="B929" s="9"/>
      <c r="C929" s="10"/>
    </row>
    <row r="930" ht="15.75" customHeight="1">
      <c r="B930" s="9"/>
      <c r="C930" s="10"/>
    </row>
    <row r="931" ht="15.75" customHeight="1">
      <c r="B931" s="9"/>
      <c r="C931" s="10"/>
    </row>
    <row r="932" ht="15.75" customHeight="1">
      <c r="B932" s="9"/>
      <c r="C932" s="10"/>
    </row>
    <row r="933" ht="15.75" customHeight="1">
      <c r="B933" s="9"/>
      <c r="C933" s="10"/>
    </row>
    <row r="934" ht="15.75" customHeight="1">
      <c r="B934" s="9"/>
      <c r="C934" s="10"/>
    </row>
    <row r="935" ht="15.75" customHeight="1">
      <c r="B935" s="9"/>
      <c r="C935" s="10"/>
    </row>
    <row r="936" ht="15.75" customHeight="1">
      <c r="B936" s="9"/>
      <c r="C936" s="10"/>
    </row>
    <row r="937" ht="15.75" customHeight="1">
      <c r="B937" s="9"/>
      <c r="C937" s="10"/>
    </row>
    <row r="938" ht="15.75" customHeight="1">
      <c r="B938" s="9"/>
      <c r="C938" s="10"/>
    </row>
    <row r="939" ht="15.75" customHeight="1">
      <c r="B939" s="9"/>
      <c r="C939" s="10"/>
    </row>
    <row r="940" ht="15.75" customHeight="1">
      <c r="B940" s="9"/>
      <c r="C940" s="10"/>
    </row>
    <row r="941" ht="15.75" customHeight="1">
      <c r="B941" s="9"/>
      <c r="C941" s="10"/>
    </row>
    <row r="942" ht="15.75" customHeight="1">
      <c r="B942" s="9"/>
      <c r="C942" s="10"/>
    </row>
    <row r="943" ht="15.75" customHeight="1">
      <c r="B943" s="9"/>
      <c r="C943" s="10"/>
    </row>
    <row r="944" ht="15.75" customHeight="1">
      <c r="B944" s="9"/>
      <c r="C944" s="10"/>
    </row>
    <row r="945" ht="15.75" customHeight="1">
      <c r="B945" s="9"/>
      <c r="C945" s="10"/>
    </row>
    <row r="946" ht="15.75" customHeight="1">
      <c r="B946" s="9"/>
      <c r="C946" s="10"/>
    </row>
    <row r="947" ht="15.75" customHeight="1">
      <c r="B947" s="9"/>
      <c r="C947" s="10"/>
    </row>
    <row r="948" ht="15.75" customHeight="1">
      <c r="B948" s="9"/>
      <c r="C948" s="10"/>
    </row>
    <row r="949" ht="15.75" customHeight="1">
      <c r="B949" s="9"/>
      <c r="C949" s="10"/>
    </row>
    <row r="950" ht="15.75" customHeight="1">
      <c r="B950" s="9"/>
      <c r="C950" s="10"/>
    </row>
    <row r="951" ht="15.75" customHeight="1">
      <c r="B951" s="9"/>
      <c r="C951" s="10"/>
    </row>
    <row r="952" ht="15.75" customHeight="1">
      <c r="B952" s="9"/>
      <c r="C952" s="10"/>
    </row>
    <row r="953" ht="15.75" customHeight="1">
      <c r="B953" s="9"/>
      <c r="C953" s="10"/>
    </row>
    <row r="954" ht="15.75" customHeight="1">
      <c r="B954" s="9"/>
      <c r="C954" s="10"/>
    </row>
    <row r="955" ht="15.75" customHeight="1">
      <c r="B955" s="9"/>
      <c r="C955" s="10"/>
    </row>
    <row r="956" ht="15.75" customHeight="1">
      <c r="B956" s="9"/>
      <c r="C956" s="10"/>
    </row>
    <row r="957" ht="15.75" customHeight="1">
      <c r="B957" s="9"/>
      <c r="C957" s="10"/>
    </row>
    <row r="958" ht="15.75" customHeight="1">
      <c r="B958" s="9"/>
      <c r="C958" s="10"/>
    </row>
    <row r="959" ht="15.75" customHeight="1">
      <c r="B959" s="9"/>
      <c r="C959" s="10"/>
    </row>
    <row r="960" ht="15.75" customHeight="1">
      <c r="B960" s="9"/>
      <c r="C960" s="10"/>
    </row>
    <row r="961" ht="15.75" customHeight="1">
      <c r="B961" s="9"/>
      <c r="C961" s="10"/>
    </row>
    <row r="962" ht="15.75" customHeight="1">
      <c r="B962" s="9"/>
      <c r="C962" s="10"/>
    </row>
    <row r="963" ht="15.75" customHeight="1">
      <c r="B963" s="9"/>
      <c r="C963" s="10"/>
    </row>
    <row r="964" ht="15.75" customHeight="1">
      <c r="B964" s="9"/>
      <c r="C964" s="10"/>
    </row>
    <row r="965" ht="15.75" customHeight="1">
      <c r="B965" s="9"/>
      <c r="C965" s="10"/>
    </row>
    <row r="966" ht="15.75" customHeight="1">
      <c r="B966" s="9"/>
      <c r="C966" s="10"/>
    </row>
    <row r="967" ht="15.75" customHeight="1">
      <c r="B967" s="9"/>
      <c r="C967" s="10"/>
    </row>
    <row r="968" ht="15.75" customHeight="1">
      <c r="B968" s="9"/>
      <c r="C968" s="10"/>
    </row>
    <row r="969" ht="15.75" customHeight="1">
      <c r="B969" s="9"/>
      <c r="C969" s="10"/>
    </row>
    <row r="970" ht="15.75" customHeight="1">
      <c r="B970" s="9"/>
      <c r="C970" s="10"/>
    </row>
    <row r="971" ht="15.75" customHeight="1">
      <c r="B971" s="9"/>
      <c r="C971" s="10"/>
    </row>
    <row r="972" ht="15.75" customHeight="1">
      <c r="B972" s="9"/>
      <c r="C972" s="10"/>
    </row>
    <row r="973" ht="15.75" customHeight="1">
      <c r="B973" s="9"/>
      <c r="C973" s="10"/>
    </row>
    <row r="974" ht="15.75" customHeight="1">
      <c r="B974" s="9"/>
      <c r="C974" s="10"/>
    </row>
    <row r="975" ht="15.75" customHeight="1">
      <c r="B975" s="9"/>
      <c r="C975" s="10"/>
    </row>
    <row r="976" ht="15.75" customHeight="1">
      <c r="B976" s="9"/>
      <c r="C976" s="10"/>
    </row>
    <row r="977" ht="15.75" customHeight="1">
      <c r="B977" s="9"/>
      <c r="C977" s="10"/>
    </row>
    <row r="978" ht="15.75" customHeight="1">
      <c r="B978" s="9"/>
      <c r="C978" s="10"/>
    </row>
    <row r="979" ht="15.75" customHeight="1">
      <c r="B979" s="9"/>
      <c r="C979" s="10"/>
    </row>
    <row r="980" ht="15.75" customHeight="1">
      <c r="B980" s="9"/>
      <c r="C980" s="10"/>
    </row>
    <row r="981" ht="15.75" customHeight="1">
      <c r="B981" s="9"/>
      <c r="C981" s="10"/>
    </row>
    <row r="982" ht="15.75" customHeight="1">
      <c r="B982" s="9"/>
      <c r="C982" s="10"/>
    </row>
    <row r="983" ht="15.75" customHeight="1">
      <c r="B983" s="9"/>
      <c r="C983" s="10"/>
    </row>
    <row r="984" ht="15.75" customHeight="1">
      <c r="B984" s="9"/>
      <c r="C984" s="10"/>
    </row>
    <row r="985" ht="15.75" customHeight="1">
      <c r="B985" s="9"/>
      <c r="C985" s="10"/>
    </row>
    <row r="986" ht="15.75" customHeight="1">
      <c r="B986" s="9"/>
      <c r="C986" s="10"/>
    </row>
    <row r="987" ht="15.75" customHeight="1">
      <c r="B987" s="9"/>
      <c r="C987" s="10"/>
    </row>
    <row r="988" ht="15.75" customHeight="1">
      <c r="B988" s="9"/>
      <c r="C988" s="10"/>
    </row>
    <row r="989" ht="15.75" customHeight="1">
      <c r="B989" s="9"/>
      <c r="C989" s="10"/>
    </row>
    <row r="990" ht="15.75" customHeight="1">
      <c r="B990" s="9"/>
      <c r="C990" s="10"/>
    </row>
    <row r="991" ht="15.75" customHeight="1">
      <c r="B991" s="9"/>
      <c r="C991" s="10"/>
    </row>
    <row r="992" ht="15.75" customHeight="1">
      <c r="B992" s="9"/>
      <c r="C992" s="10"/>
    </row>
    <row r="993" ht="15.75" customHeight="1">
      <c r="B993" s="9"/>
      <c r="C993" s="10"/>
    </row>
    <row r="994" ht="15.75" customHeight="1">
      <c r="B994" s="9"/>
      <c r="C994" s="10"/>
    </row>
    <row r="995" ht="15.75" customHeight="1">
      <c r="B995" s="9"/>
      <c r="C995" s="10"/>
    </row>
    <row r="996" ht="15.75" customHeight="1">
      <c r="B996" s="9"/>
      <c r="C996" s="10"/>
    </row>
    <row r="997" ht="15.75" customHeight="1">
      <c r="B997" s="9"/>
      <c r="C997" s="10"/>
    </row>
    <row r="998" ht="15.75" customHeight="1">
      <c r="B998" s="9"/>
      <c r="C998" s="10"/>
    </row>
    <row r="999" ht="15.75" customHeight="1">
      <c r="B999" s="9"/>
      <c r="C999" s="10"/>
    </row>
    <row r="1000" ht="15.75" customHeight="1">
      <c r="B1000" s="9"/>
      <c r="C1000" s="1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0"/>
    <col customWidth="1" min="2" max="2" width="28.0"/>
    <col customWidth="1" min="3" max="4" width="15.0"/>
    <col customWidth="1" min="5" max="5" width="18.0"/>
    <col customWidth="1" min="6" max="6" width="22.0"/>
    <col customWidth="1" min="7" max="7" width="14.0"/>
    <col customWidth="1" min="8" max="8" width="16.0"/>
    <col customWidth="1" min="9" max="9" width="14.0"/>
    <col customWidth="1" min="10" max="10" width="30.0"/>
    <col customWidth="1" min="11" max="11" width="28.0"/>
    <col customWidth="1" min="12" max="26" width="8.63"/>
  </cols>
  <sheetData>
    <row r="1">
      <c r="A1" s="11" t="s">
        <v>317</v>
      </c>
      <c r="B1" s="11" t="s">
        <v>318</v>
      </c>
      <c r="C1" s="11" t="s">
        <v>319</v>
      </c>
      <c r="D1" s="11" t="s">
        <v>320</v>
      </c>
      <c r="E1" s="11" t="s">
        <v>321</v>
      </c>
      <c r="F1" s="11" t="s">
        <v>322</v>
      </c>
      <c r="G1" s="11" t="s">
        <v>323</v>
      </c>
      <c r="H1" s="11" t="s">
        <v>324</v>
      </c>
      <c r="I1" s="11" t="s">
        <v>325</v>
      </c>
      <c r="J1" s="11" t="s">
        <v>326</v>
      </c>
      <c r="K1" s="11" t="s">
        <v>327</v>
      </c>
    </row>
    <row r="2">
      <c r="A2" s="12" t="s">
        <v>328</v>
      </c>
      <c r="B2" s="12" t="s">
        <v>5</v>
      </c>
      <c r="C2" s="12">
        <f>COUNTIF(DM_TIEU_CHI!$E$2:$E$200,"Có")</f>
        <v>52</v>
      </c>
      <c r="D2" s="12">
        <f>SUMPRODUCT((PL4_TONG_HOP!$E$2:$E$5000="Có")*(LEN(PL4_TONG_HOP!$F$2:$F$5000)&gt;0))</f>
        <v>0</v>
      </c>
      <c r="E2" s="13">
        <f>SUMPRODUCT((CANH_BAO_MINH_CHUNG!$A$2:$A$5000=$A2)*(LEN(CANH_BAO_MINH_CHUNG!$F$2:$F$5000)&gt;0)*(CANH_BAO_MINH_CHUNG!$G$2:$G$5000&gt;0))</f>
        <v>0</v>
      </c>
      <c r="F2" s="14">
        <f>SUMPRODUCT((CANH_BAO_MINH_CHUNG!$A$2:$A$5000=$A2)*(LEN(CANH_BAO_MINH_CHUNG!$F$2:$F$5000)&gt;0)*(CANH_BAO_MINH_CHUNG!$G$2:$G$5000=0))</f>
        <v>0</v>
      </c>
      <c r="G2" s="15">
        <f t="shared" ref="G2:G17" si="1">IF(D2=0,0,D2/C2)</f>
        <v>0</v>
      </c>
      <c r="H2" s="15">
        <f t="shared" ref="H2:H17" si="2">IF(D2=0,0,E2/D2)</f>
        <v>0</v>
      </c>
      <c r="I2" s="14">
        <f>COUNTIFS(FILE_UPLOADS!$B:$B,$A2)</f>
        <v>0</v>
      </c>
      <c r="J2" s="16" t="str">
        <f t="shared" ref="J2:J17" si="3">IF(D2=0,"Chưa nhập dữ liệu",IF(F2=0,"Đủ minh chứng","Thiếu minh chứng "&amp;F2&amp;" tiêu chí"))</f>
        <v>Chưa nhập dữ liệu</v>
      </c>
      <c r="K2" s="17" t="str">
        <f t="shared" ref="K2:K17" si="4">IF(F2=0,"","Xem sheet CANH_BAO_MINH_CHUNG")</f>
        <v/>
      </c>
    </row>
    <row r="3">
      <c r="A3" s="12" t="s">
        <v>329</v>
      </c>
      <c r="B3" s="12" t="s">
        <v>6</v>
      </c>
      <c r="C3" s="12">
        <f>COUNTIF(DM_TIEU_CHI!$E$2:$E$200,"Có")</f>
        <v>52</v>
      </c>
      <c r="D3" s="12">
        <f>SUMPRODUCT((PL4_TONG_HOP!$E$2:$E$5000="Có")*(LEN(PL4_TONG_HOP!$G$2:$G$5000)&gt;0))</f>
        <v>0</v>
      </c>
      <c r="E3" s="13">
        <f>SUMPRODUCT((CANH_BAO_MINH_CHUNG!$A$2:$A$5000=$A3)*(LEN(CANH_BAO_MINH_CHUNG!$F$2:$F$5000)&gt;0)*(CANH_BAO_MINH_CHUNG!$G$2:$G$5000&gt;0))</f>
        <v>0</v>
      </c>
      <c r="F3" s="14">
        <f>SUMPRODUCT((CANH_BAO_MINH_CHUNG!$A$2:$A$5000=$A3)*(LEN(CANH_BAO_MINH_CHUNG!$F$2:$F$5000)&gt;0)*(CANH_BAO_MINH_CHUNG!$G$2:$G$5000=0))</f>
        <v>0</v>
      </c>
      <c r="G3" s="15">
        <f t="shared" si="1"/>
        <v>0</v>
      </c>
      <c r="H3" s="15">
        <f t="shared" si="2"/>
        <v>0</v>
      </c>
      <c r="I3" s="14">
        <f>COUNTIFS(FILE_UPLOADS!$B:$B,$A3)</f>
        <v>0</v>
      </c>
      <c r="J3" s="16" t="str">
        <f t="shared" si="3"/>
        <v>Chưa nhập dữ liệu</v>
      </c>
      <c r="K3" s="17" t="str">
        <f t="shared" si="4"/>
        <v/>
      </c>
    </row>
    <row r="4">
      <c r="A4" s="12" t="s">
        <v>330</v>
      </c>
      <c r="B4" s="12" t="s">
        <v>7</v>
      </c>
      <c r="C4" s="12">
        <f>COUNTIF(DM_TIEU_CHI!$E$2:$E$200,"Có")</f>
        <v>52</v>
      </c>
      <c r="D4" s="12">
        <f>SUMPRODUCT((PL4_TONG_HOP!$E$2:$E$5000="Có")*(LEN(PL4_TONG_HOP!$H$2:$H$5000)&gt;0))</f>
        <v>0</v>
      </c>
      <c r="E4" s="13">
        <f>SUMPRODUCT((CANH_BAO_MINH_CHUNG!$A$2:$A$5000=$A4)*(LEN(CANH_BAO_MINH_CHUNG!$F$2:$F$5000)&gt;0)*(CANH_BAO_MINH_CHUNG!$G$2:$G$5000&gt;0))</f>
        <v>0</v>
      </c>
      <c r="F4" s="14">
        <f>SUMPRODUCT((CANH_BAO_MINH_CHUNG!$A$2:$A$5000=$A4)*(LEN(CANH_BAO_MINH_CHUNG!$F$2:$F$5000)&gt;0)*(CANH_BAO_MINH_CHUNG!$G$2:$G$5000=0))</f>
        <v>0</v>
      </c>
      <c r="G4" s="15">
        <f t="shared" si="1"/>
        <v>0</v>
      </c>
      <c r="H4" s="15">
        <f t="shared" si="2"/>
        <v>0</v>
      </c>
      <c r="I4" s="14">
        <f>COUNTIFS(FILE_UPLOADS!$B:$B,$A4)</f>
        <v>0</v>
      </c>
      <c r="J4" s="16" t="str">
        <f t="shared" si="3"/>
        <v>Chưa nhập dữ liệu</v>
      </c>
      <c r="K4" s="17" t="str">
        <f t="shared" si="4"/>
        <v/>
      </c>
    </row>
    <row r="5">
      <c r="A5" s="12" t="s">
        <v>331</v>
      </c>
      <c r="B5" s="12" t="s">
        <v>8</v>
      </c>
      <c r="C5" s="12">
        <f>COUNTIF(DM_TIEU_CHI!$E$2:$E$200,"Có")</f>
        <v>52</v>
      </c>
      <c r="D5" s="12">
        <f>SUMPRODUCT((PL4_TONG_HOP!$E$2:$E$5000="Có")*(LEN(PL4_TONG_HOP!$I$2:$I$5000)&gt;0))</f>
        <v>0</v>
      </c>
      <c r="E5" s="13">
        <f>SUMPRODUCT((CANH_BAO_MINH_CHUNG!$A$2:$A$5000=$A5)*(LEN(CANH_BAO_MINH_CHUNG!$F$2:$F$5000)&gt;0)*(CANH_BAO_MINH_CHUNG!$G$2:$G$5000&gt;0))</f>
        <v>0</v>
      </c>
      <c r="F5" s="14">
        <f>SUMPRODUCT((CANH_BAO_MINH_CHUNG!$A$2:$A$5000=$A5)*(LEN(CANH_BAO_MINH_CHUNG!$F$2:$F$5000)&gt;0)*(CANH_BAO_MINH_CHUNG!$G$2:$G$5000=0))</f>
        <v>0</v>
      </c>
      <c r="G5" s="15">
        <f t="shared" si="1"/>
        <v>0</v>
      </c>
      <c r="H5" s="15">
        <f t="shared" si="2"/>
        <v>0</v>
      </c>
      <c r="I5" s="14">
        <f>COUNTIFS(FILE_UPLOADS!$B:$B,$A5)</f>
        <v>0</v>
      </c>
      <c r="J5" s="16" t="str">
        <f t="shared" si="3"/>
        <v>Chưa nhập dữ liệu</v>
      </c>
      <c r="K5" s="17" t="str">
        <f t="shared" si="4"/>
        <v/>
      </c>
    </row>
    <row r="6">
      <c r="A6" s="12" t="s">
        <v>332</v>
      </c>
      <c r="B6" s="12" t="s">
        <v>9</v>
      </c>
      <c r="C6" s="12">
        <f>COUNTIF(DM_TIEU_CHI!$E$2:$E$200,"Có")</f>
        <v>52</v>
      </c>
      <c r="D6" s="12">
        <f>SUMPRODUCT((PL4_TONG_HOP!$E$2:$E$5000="Có")*(LEN(PL4_TONG_HOP!$J$2:$J$5000)&gt;0))</f>
        <v>0</v>
      </c>
      <c r="E6" s="13">
        <f>SUMPRODUCT((CANH_BAO_MINH_CHUNG!$A$2:$A$5000=$A6)*(LEN(CANH_BAO_MINH_CHUNG!$F$2:$F$5000)&gt;0)*(CANH_BAO_MINH_CHUNG!$G$2:$G$5000&gt;0))</f>
        <v>0</v>
      </c>
      <c r="F6" s="14">
        <f>SUMPRODUCT((CANH_BAO_MINH_CHUNG!$A$2:$A$5000=$A6)*(LEN(CANH_BAO_MINH_CHUNG!$F$2:$F$5000)&gt;0)*(CANH_BAO_MINH_CHUNG!$G$2:$G$5000=0))</f>
        <v>0</v>
      </c>
      <c r="G6" s="15">
        <f t="shared" si="1"/>
        <v>0</v>
      </c>
      <c r="H6" s="15">
        <f t="shared" si="2"/>
        <v>0</v>
      </c>
      <c r="I6" s="14">
        <f>COUNTIFS(FILE_UPLOADS!$B:$B,$A6)</f>
        <v>0</v>
      </c>
      <c r="J6" s="16" t="str">
        <f t="shared" si="3"/>
        <v>Chưa nhập dữ liệu</v>
      </c>
      <c r="K6" s="17" t="str">
        <f t="shared" si="4"/>
        <v/>
      </c>
    </row>
    <row r="7">
      <c r="A7" s="12" t="s">
        <v>333</v>
      </c>
      <c r="B7" s="12" t="s">
        <v>10</v>
      </c>
      <c r="C7" s="12">
        <f>COUNTIF(DM_TIEU_CHI!$E$2:$E$200,"Có")</f>
        <v>52</v>
      </c>
      <c r="D7" s="12">
        <f>SUMPRODUCT((PL4_TONG_HOP!$E$2:$E$5000="Có")*(LEN(PL4_TONG_HOP!$K$2:$K$5000)&gt;0))</f>
        <v>0</v>
      </c>
      <c r="E7" s="13">
        <f>SUMPRODUCT((CANH_BAO_MINH_CHUNG!$A$2:$A$5000=$A7)*(LEN(CANH_BAO_MINH_CHUNG!$F$2:$F$5000)&gt;0)*(CANH_BAO_MINH_CHUNG!$G$2:$G$5000&gt;0))</f>
        <v>0</v>
      </c>
      <c r="F7" s="14">
        <f>SUMPRODUCT((CANH_BAO_MINH_CHUNG!$A$2:$A$5000=$A7)*(LEN(CANH_BAO_MINH_CHUNG!$F$2:$F$5000)&gt;0)*(CANH_BAO_MINH_CHUNG!$G$2:$G$5000=0))</f>
        <v>0</v>
      </c>
      <c r="G7" s="15">
        <f t="shared" si="1"/>
        <v>0</v>
      </c>
      <c r="H7" s="15">
        <f t="shared" si="2"/>
        <v>0</v>
      </c>
      <c r="I7" s="14">
        <f>COUNTIFS(FILE_UPLOADS!$B:$B,$A7)</f>
        <v>0</v>
      </c>
      <c r="J7" s="16" t="str">
        <f t="shared" si="3"/>
        <v>Chưa nhập dữ liệu</v>
      </c>
      <c r="K7" s="17" t="str">
        <f t="shared" si="4"/>
        <v/>
      </c>
    </row>
    <row r="8">
      <c r="A8" s="12" t="s">
        <v>334</v>
      </c>
      <c r="B8" s="12" t="s">
        <v>11</v>
      </c>
      <c r="C8" s="12">
        <f>COUNTIF(DM_TIEU_CHI!$E$2:$E$200,"Có")</f>
        <v>52</v>
      </c>
      <c r="D8" s="12">
        <f>SUMPRODUCT((PL4_TONG_HOP!$E$2:$E$5000="Có")*(LEN(PL4_TONG_HOP!$L$2:$L$5000)&gt;0))</f>
        <v>0</v>
      </c>
      <c r="E8" s="13">
        <f>SUMPRODUCT((CANH_BAO_MINH_CHUNG!$A$2:$A$5000=$A8)*(LEN(CANH_BAO_MINH_CHUNG!$F$2:$F$5000)&gt;0)*(CANH_BAO_MINH_CHUNG!$G$2:$G$5000&gt;0))</f>
        <v>0</v>
      </c>
      <c r="F8" s="14">
        <f>SUMPRODUCT((CANH_BAO_MINH_CHUNG!$A$2:$A$5000=$A8)*(LEN(CANH_BAO_MINH_CHUNG!$F$2:$F$5000)&gt;0)*(CANH_BAO_MINH_CHUNG!$G$2:$G$5000=0))</f>
        <v>0</v>
      </c>
      <c r="G8" s="15">
        <f t="shared" si="1"/>
        <v>0</v>
      </c>
      <c r="H8" s="15">
        <f t="shared" si="2"/>
        <v>0</v>
      </c>
      <c r="I8" s="14">
        <f>COUNTIFS(FILE_UPLOADS!$B:$B,$A8)</f>
        <v>0</v>
      </c>
      <c r="J8" s="16" t="str">
        <f t="shared" si="3"/>
        <v>Chưa nhập dữ liệu</v>
      </c>
      <c r="K8" s="17" t="str">
        <f t="shared" si="4"/>
        <v/>
      </c>
    </row>
    <row r="9">
      <c r="A9" s="12" t="s">
        <v>335</v>
      </c>
      <c r="B9" s="12" t="s">
        <v>12</v>
      </c>
      <c r="C9" s="12">
        <f>COUNTIF(DM_TIEU_CHI!$E$2:$E$200,"Có")</f>
        <v>52</v>
      </c>
      <c r="D9" s="12">
        <f>SUMPRODUCT((PL4_TONG_HOP!$E$2:$E$5000="Có")*(LEN(PL4_TONG_HOP!$M$2:$M$5000)&gt;0))</f>
        <v>0</v>
      </c>
      <c r="E9" s="13">
        <f>SUMPRODUCT((CANH_BAO_MINH_CHUNG!$A$2:$A$5000=$A9)*(LEN(CANH_BAO_MINH_CHUNG!$F$2:$F$5000)&gt;0)*(CANH_BAO_MINH_CHUNG!$G$2:$G$5000&gt;0))</f>
        <v>0</v>
      </c>
      <c r="F9" s="14">
        <f>SUMPRODUCT((CANH_BAO_MINH_CHUNG!$A$2:$A$5000=$A9)*(LEN(CANH_BAO_MINH_CHUNG!$F$2:$F$5000)&gt;0)*(CANH_BAO_MINH_CHUNG!$G$2:$G$5000=0))</f>
        <v>0</v>
      </c>
      <c r="G9" s="15">
        <f t="shared" si="1"/>
        <v>0</v>
      </c>
      <c r="H9" s="15">
        <f t="shared" si="2"/>
        <v>0</v>
      </c>
      <c r="I9" s="14">
        <f>COUNTIFS(FILE_UPLOADS!$B:$B,$A9)</f>
        <v>0</v>
      </c>
      <c r="J9" s="16" t="str">
        <f t="shared" si="3"/>
        <v>Chưa nhập dữ liệu</v>
      </c>
      <c r="K9" s="17" t="str">
        <f t="shared" si="4"/>
        <v/>
      </c>
    </row>
    <row r="10">
      <c r="A10" s="12" t="s">
        <v>336</v>
      </c>
      <c r="B10" s="12" t="s">
        <v>13</v>
      </c>
      <c r="C10" s="12">
        <f>COUNTIF(DM_TIEU_CHI!$E$2:$E$200,"Có")</f>
        <v>52</v>
      </c>
      <c r="D10" s="12">
        <f>SUMPRODUCT((PL4_TONG_HOP!$E$2:$E$5000="Có")*(LEN(PL4_TONG_HOP!$N$2:$N$5000)&gt;0))</f>
        <v>0</v>
      </c>
      <c r="E10" s="13">
        <f>SUMPRODUCT((CANH_BAO_MINH_CHUNG!$A$2:$A$5000=$A10)*(LEN(CANH_BAO_MINH_CHUNG!$F$2:$F$5000)&gt;0)*(CANH_BAO_MINH_CHUNG!$G$2:$G$5000&gt;0))</f>
        <v>0</v>
      </c>
      <c r="F10" s="14">
        <f>SUMPRODUCT((CANH_BAO_MINH_CHUNG!$A$2:$A$5000=$A10)*(LEN(CANH_BAO_MINH_CHUNG!$F$2:$F$5000)&gt;0)*(CANH_BAO_MINH_CHUNG!$G$2:$G$5000=0))</f>
        <v>0</v>
      </c>
      <c r="G10" s="15">
        <f t="shared" si="1"/>
        <v>0</v>
      </c>
      <c r="H10" s="15">
        <f t="shared" si="2"/>
        <v>0</v>
      </c>
      <c r="I10" s="14">
        <f>COUNTIFS(FILE_UPLOADS!$B:$B,$A10)</f>
        <v>0</v>
      </c>
      <c r="J10" s="16" t="str">
        <f t="shared" si="3"/>
        <v>Chưa nhập dữ liệu</v>
      </c>
      <c r="K10" s="17" t="str">
        <f t="shared" si="4"/>
        <v/>
      </c>
    </row>
    <row r="11">
      <c r="A11" s="12" t="s">
        <v>337</v>
      </c>
      <c r="B11" s="12" t="s">
        <v>14</v>
      </c>
      <c r="C11" s="12">
        <f>COUNTIF(DM_TIEU_CHI!$E$2:$E$200,"Có")</f>
        <v>52</v>
      </c>
      <c r="D11" s="12">
        <f>SUMPRODUCT((PL4_TONG_HOP!$E$2:$E$5000="Có")*(LEN(PL4_TONG_HOP!$O$2:$O$5000)&gt;0))</f>
        <v>0</v>
      </c>
      <c r="E11" s="13">
        <f>SUMPRODUCT((CANH_BAO_MINH_CHUNG!$A$2:$A$5000=$A11)*(LEN(CANH_BAO_MINH_CHUNG!$F$2:$F$5000)&gt;0)*(CANH_BAO_MINH_CHUNG!$G$2:$G$5000&gt;0))</f>
        <v>0</v>
      </c>
      <c r="F11" s="14">
        <f>SUMPRODUCT((CANH_BAO_MINH_CHUNG!$A$2:$A$5000=$A11)*(LEN(CANH_BAO_MINH_CHUNG!$F$2:$F$5000)&gt;0)*(CANH_BAO_MINH_CHUNG!$G$2:$G$5000=0))</f>
        <v>0</v>
      </c>
      <c r="G11" s="15">
        <f t="shared" si="1"/>
        <v>0</v>
      </c>
      <c r="H11" s="15">
        <f t="shared" si="2"/>
        <v>0</v>
      </c>
      <c r="I11" s="14">
        <f>COUNTIFS(FILE_UPLOADS!$B:$B,$A11)</f>
        <v>0</v>
      </c>
      <c r="J11" s="16" t="str">
        <f t="shared" si="3"/>
        <v>Chưa nhập dữ liệu</v>
      </c>
      <c r="K11" s="17" t="str">
        <f t="shared" si="4"/>
        <v/>
      </c>
    </row>
    <row r="12">
      <c r="A12" s="12" t="s">
        <v>338</v>
      </c>
      <c r="B12" s="12" t="s">
        <v>15</v>
      </c>
      <c r="C12" s="12">
        <f>COUNTIF(DM_TIEU_CHI!$E$2:$E$200,"Có")</f>
        <v>52</v>
      </c>
      <c r="D12" s="12">
        <f>SUMPRODUCT((PL4_TONG_HOP!$E$2:$E$5000="Có")*(LEN(PL4_TONG_HOP!$P$2:$P$5000)&gt;0))</f>
        <v>0</v>
      </c>
      <c r="E12" s="13">
        <f>SUMPRODUCT((CANH_BAO_MINH_CHUNG!$A$2:$A$5000=$A12)*(LEN(CANH_BAO_MINH_CHUNG!$F$2:$F$5000)&gt;0)*(CANH_BAO_MINH_CHUNG!$G$2:$G$5000&gt;0))</f>
        <v>0</v>
      </c>
      <c r="F12" s="14">
        <f>SUMPRODUCT((CANH_BAO_MINH_CHUNG!$A$2:$A$5000=$A12)*(LEN(CANH_BAO_MINH_CHUNG!$F$2:$F$5000)&gt;0)*(CANH_BAO_MINH_CHUNG!$G$2:$G$5000=0))</f>
        <v>0</v>
      </c>
      <c r="G12" s="15">
        <f t="shared" si="1"/>
        <v>0</v>
      </c>
      <c r="H12" s="15">
        <f t="shared" si="2"/>
        <v>0</v>
      </c>
      <c r="I12" s="14">
        <f>COUNTIFS(FILE_UPLOADS!$B:$B,$A12)</f>
        <v>0</v>
      </c>
      <c r="J12" s="16" t="str">
        <f t="shared" si="3"/>
        <v>Chưa nhập dữ liệu</v>
      </c>
      <c r="K12" s="17" t="str">
        <f t="shared" si="4"/>
        <v/>
      </c>
    </row>
    <row r="13">
      <c r="A13" s="12" t="s">
        <v>339</v>
      </c>
      <c r="B13" s="12" t="s">
        <v>16</v>
      </c>
      <c r="C13" s="12">
        <f>COUNTIF(DM_TIEU_CHI!$E$2:$E$200,"Có")</f>
        <v>52</v>
      </c>
      <c r="D13" s="12">
        <f>SUMPRODUCT((PL4_TONG_HOP!$E$2:$E$5000="Có")*(LEN(PL4_TONG_HOP!$Q$2:$Q$5000)&gt;0))</f>
        <v>0</v>
      </c>
      <c r="E13" s="13">
        <f>SUMPRODUCT((CANH_BAO_MINH_CHUNG!$A$2:$A$5000=$A13)*(LEN(CANH_BAO_MINH_CHUNG!$F$2:$F$5000)&gt;0)*(CANH_BAO_MINH_CHUNG!$G$2:$G$5000&gt;0))</f>
        <v>0</v>
      </c>
      <c r="F13" s="14">
        <f>SUMPRODUCT((CANH_BAO_MINH_CHUNG!$A$2:$A$5000=$A13)*(LEN(CANH_BAO_MINH_CHUNG!$F$2:$F$5000)&gt;0)*(CANH_BAO_MINH_CHUNG!$G$2:$G$5000=0))</f>
        <v>0</v>
      </c>
      <c r="G13" s="15">
        <f t="shared" si="1"/>
        <v>0</v>
      </c>
      <c r="H13" s="15">
        <f t="shared" si="2"/>
        <v>0</v>
      </c>
      <c r="I13" s="14">
        <f>COUNTIFS(FILE_UPLOADS!$B:$B,$A13)</f>
        <v>0</v>
      </c>
      <c r="J13" s="16" t="str">
        <f t="shared" si="3"/>
        <v>Chưa nhập dữ liệu</v>
      </c>
      <c r="K13" s="17" t="str">
        <f t="shared" si="4"/>
        <v/>
      </c>
    </row>
    <row r="14">
      <c r="A14" s="12" t="s">
        <v>340</v>
      </c>
      <c r="B14" s="12" t="s">
        <v>17</v>
      </c>
      <c r="C14" s="12">
        <f>COUNTIF(DM_TIEU_CHI!$E$2:$E$200,"Có")</f>
        <v>52</v>
      </c>
      <c r="D14" s="12">
        <f>SUMPRODUCT((PL4_TONG_HOP!$E$2:$E$5000="Có")*(LEN(PL4_TONG_HOP!$R$2:$R$5000)&gt;0))</f>
        <v>1</v>
      </c>
      <c r="E14" s="13">
        <f>SUMPRODUCT((CANH_BAO_MINH_CHUNG!$A$2:$A$5000=$A14)*(LEN(CANH_BAO_MINH_CHUNG!$F$2:$F$5000)&gt;0)*(CANH_BAO_MINH_CHUNG!$G$2:$G$5000&gt;0))</f>
        <v>1</v>
      </c>
      <c r="F14" s="14">
        <f>SUMPRODUCT((CANH_BAO_MINH_CHUNG!$A$2:$A$5000=$A14)*(LEN(CANH_BAO_MINH_CHUNG!$F$2:$F$5000)&gt;0)*(CANH_BAO_MINH_CHUNG!$G$2:$G$5000=0))</f>
        <v>0</v>
      </c>
      <c r="G14" s="15">
        <f t="shared" si="1"/>
        <v>0.01923076923</v>
      </c>
      <c r="H14" s="15">
        <f t="shared" si="2"/>
        <v>1</v>
      </c>
      <c r="I14" s="14">
        <f>COUNTIFS(FILE_UPLOADS!$B:$B,$A14)</f>
        <v>1</v>
      </c>
      <c r="J14" s="16" t="str">
        <f t="shared" si="3"/>
        <v>Đủ minh chứng</v>
      </c>
      <c r="K14" s="17" t="str">
        <f t="shared" si="4"/>
        <v/>
      </c>
    </row>
    <row r="15">
      <c r="A15" s="12" t="s">
        <v>341</v>
      </c>
      <c r="B15" s="12" t="s">
        <v>18</v>
      </c>
      <c r="C15" s="12">
        <f>COUNTIF(DM_TIEU_CHI!$E$2:$E$200,"Có")</f>
        <v>52</v>
      </c>
      <c r="D15" s="12">
        <f>SUMPRODUCT((PL4_TONG_HOP!$E$2:$E$5000="Có")*(LEN(PL4_TONG_HOP!$S$2:$S$5000)&gt;0))</f>
        <v>0</v>
      </c>
      <c r="E15" s="13">
        <f>SUMPRODUCT((CANH_BAO_MINH_CHUNG!$A$2:$A$5000=$A15)*(LEN(CANH_BAO_MINH_CHUNG!$F$2:$F$5000)&gt;0)*(CANH_BAO_MINH_CHUNG!$G$2:$G$5000&gt;0))</f>
        <v>0</v>
      </c>
      <c r="F15" s="14">
        <f>SUMPRODUCT((CANH_BAO_MINH_CHUNG!$A$2:$A$5000=$A15)*(LEN(CANH_BAO_MINH_CHUNG!$F$2:$F$5000)&gt;0)*(CANH_BAO_MINH_CHUNG!$G$2:$G$5000=0))</f>
        <v>0</v>
      </c>
      <c r="G15" s="15">
        <f t="shared" si="1"/>
        <v>0</v>
      </c>
      <c r="H15" s="15">
        <f t="shared" si="2"/>
        <v>0</v>
      </c>
      <c r="I15" s="14">
        <f>COUNTIFS(FILE_UPLOADS!$B:$B,$A15)</f>
        <v>0</v>
      </c>
      <c r="J15" s="16" t="str">
        <f t="shared" si="3"/>
        <v>Chưa nhập dữ liệu</v>
      </c>
      <c r="K15" s="17" t="str">
        <f t="shared" si="4"/>
        <v/>
      </c>
    </row>
    <row r="16">
      <c r="A16" s="12" t="s">
        <v>342</v>
      </c>
      <c r="B16" s="12" t="s">
        <v>19</v>
      </c>
      <c r="C16" s="12">
        <f>COUNTIF(DM_TIEU_CHI!$E$2:$E$200,"Có")</f>
        <v>52</v>
      </c>
      <c r="D16" s="12">
        <f>SUMPRODUCT((PL4_TONG_HOP!$E$2:$E$5000="Có")*(LEN(PL4_TONG_HOP!$T$2:$T$5000)&gt;0))</f>
        <v>0</v>
      </c>
      <c r="E16" s="13">
        <f>SUMPRODUCT((CANH_BAO_MINH_CHUNG!$A$2:$A$5000=$A16)*(LEN(CANH_BAO_MINH_CHUNG!$F$2:$F$5000)&gt;0)*(CANH_BAO_MINH_CHUNG!$G$2:$G$5000&gt;0))</f>
        <v>0</v>
      </c>
      <c r="F16" s="14">
        <f>SUMPRODUCT((CANH_BAO_MINH_CHUNG!$A$2:$A$5000=$A16)*(LEN(CANH_BAO_MINH_CHUNG!$F$2:$F$5000)&gt;0)*(CANH_BAO_MINH_CHUNG!$G$2:$G$5000=0))</f>
        <v>0</v>
      </c>
      <c r="G16" s="15">
        <f t="shared" si="1"/>
        <v>0</v>
      </c>
      <c r="H16" s="15">
        <f t="shared" si="2"/>
        <v>0</v>
      </c>
      <c r="I16" s="14">
        <f>COUNTIFS(FILE_UPLOADS!$B:$B,$A16)</f>
        <v>0</v>
      </c>
      <c r="J16" s="16" t="str">
        <f t="shared" si="3"/>
        <v>Chưa nhập dữ liệu</v>
      </c>
      <c r="K16" s="17" t="str">
        <f t="shared" si="4"/>
        <v/>
      </c>
    </row>
    <row r="17">
      <c r="A17" s="12" t="s">
        <v>343</v>
      </c>
      <c r="B17" s="12" t="s">
        <v>20</v>
      </c>
      <c r="C17" s="12">
        <f>COUNTIF(DM_TIEU_CHI!$E$2:$E$200,"Có")</f>
        <v>52</v>
      </c>
      <c r="D17" s="12">
        <f>SUMPRODUCT((PL4_TONG_HOP!$E$2:$E$5000="Có")*(LEN(PL4_TONG_HOP!$U$2:$U$5000)&gt;0))</f>
        <v>0</v>
      </c>
      <c r="E17" s="13">
        <f>SUMPRODUCT((CANH_BAO_MINH_CHUNG!$A$2:$A$5000=$A17)*(LEN(CANH_BAO_MINH_CHUNG!$F$2:$F$5000)&gt;0)*(CANH_BAO_MINH_CHUNG!$G$2:$G$5000&gt;0))</f>
        <v>0</v>
      </c>
      <c r="F17" s="14">
        <f>SUMPRODUCT((CANH_BAO_MINH_CHUNG!$A$2:$A$5000=$A17)*(LEN(CANH_BAO_MINH_CHUNG!$F$2:$F$5000)&gt;0)*(CANH_BAO_MINH_CHUNG!$G$2:$G$5000=0))</f>
        <v>0</v>
      </c>
      <c r="G17" s="15">
        <f t="shared" si="1"/>
        <v>0</v>
      </c>
      <c r="H17" s="15">
        <f t="shared" si="2"/>
        <v>0</v>
      </c>
      <c r="I17" s="14">
        <f>COUNTIFS(FILE_UPLOADS!$B:$B,$A17)</f>
        <v>0</v>
      </c>
      <c r="J17" s="16" t="str">
        <f t="shared" si="3"/>
        <v>Chưa nhập dữ liệu</v>
      </c>
      <c r="K17" s="17" t="str">
        <f t="shared" si="4"/>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J2:J17">
    <cfRule type="expression" dxfId="0" priority="1">
      <formula>$D2=0</formula>
    </cfRule>
  </conditionalFormatting>
  <conditionalFormatting sqref="J2:J17">
    <cfRule type="expression" dxfId="1" priority="2">
      <formula>AND($D2&gt;0,$F2=0)</formula>
    </cfRule>
  </conditionalFormatting>
  <conditionalFormatting sqref="J2:J17">
    <cfRule type="expression" dxfId="2" priority="3">
      <formula>$F2&gt;0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2.63" defaultRowHeight="15.0"/>
  <cols>
    <col customWidth="1" hidden="1" min="1" max="1" width="12.0"/>
    <col customWidth="1" min="2" max="2" width="28.0"/>
    <col customWidth="1" hidden="1" min="3" max="3" width="10.0"/>
    <col customWidth="1" hidden="1" min="4" max="4" width="14.0"/>
    <col customWidth="1" min="5" max="5" width="50.25"/>
    <col customWidth="1" min="6" max="6" width="35.88"/>
    <col customWidth="1" min="7" max="7" width="12.0"/>
    <col customWidth="1" min="8" max="8" width="22.0"/>
    <col customWidth="1" min="9" max="26" width="8.63"/>
  </cols>
  <sheetData>
    <row r="1">
      <c r="A1" s="11" t="s">
        <v>317</v>
      </c>
      <c r="B1" s="11" t="s">
        <v>318</v>
      </c>
      <c r="C1" s="11" t="s">
        <v>0</v>
      </c>
      <c r="D1" s="11" t="s">
        <v>1</v>
      </c>
      <c r="E1" s="11" t="s">
        <v>344</v>
      </c>
      <c r="F1" s="11" t="s">
        <v>345</v>
      </c>
      <c r="G1" s="11" t="s">
        <v>346</v>
      </c>
      <c r="H1" s="11" t="s">
        <v>326</v>
      </c>
    </row>
    <row r="2">
      <c r="A2" s="17" t="s">
        <v>328</v>
      </c>
      <c r="B2" s="17" t="s">
        <v>5</v>
      </c>
      <c r="C2" s="17" t="s">
        <v>46</v>
      </c>
      <c r="D2" s="17" t="s">
        <v>47</v>
      </c>
      <c r="E2" s="17" t="s">
        <v>48</v>
      </c>
      <c r="F2" s="17" t="str">
        <f t="array" ref="F2">IFERROR(INDEX(PL4_TONG_HOP!$F$2:$F$5000,MATCH($C2,PL4_TONG_HOP!$A$2:$A$5000,0)),"")</f>
        <v/>
      </c>
      <c r="G2" s="17">
        <f>COUNTIFS(FILE_UPLOADS!$B:$B,$A2,FILE_UPLOADS!$D:$D,$C2)</f>
        <v>0</v>
      </c>
      <c r="H2" s="17" t="str">
        <f t="shared" ref="H2:H833" si="1">IF(LEN(F2)=0,"",IF(G2&gt;0,"Đã có minh chứng","CHƯA CÓ MINH CHỨNG"))</f>
        <v/>
      </c>
    </row>
    <row r="3">
      <c r="A3" s="17" t="s">
        <v>328</v>
      </c>
      <c r="B3" s="17" t="s">
        <v>5</v>
      </c>
      <c r="C3" s="17" t="s">
        <v>78</v>
      </c>
      <c r="D3" s="17" t="s">
        <v>79</v>
      </c>
      <c r="E3" s="17" t="s">
        <v>80</v>
      </c>
      <c r="F3" s="17" t="str">
        <f t="array" ref="F3">IFERROR(INDEX(PL4_TONG_HOP!$F$2:$F$5000,MATCH($C3,PL4_TONG_HOP!$A$2:$A$5000,0)),"")</f>
        <v/>
      </c>
      <c r="G3" s="17">
        <f>COUNTIFS(FILE_UPLOADS!$B:$B,$A3,FILE_UPLOADS!$D:$D,$C3)</f>
        <v>0</v>
      </c>
      <c r="H3" s="17" t="str">
        <f t="shared" si="1"/>
        <v/>
      </c>
    </row>
    <row r="4">
      <c r="A4" s="17" t="s">
        <v>328</v>
      </c>
      <c r="B4" s="17" t="s">
        <v>5</v>
      </c>
      <c r="C4" s="17" t="s">
        <v>81</v>
      </c>
      <c r="D4" s="17" t="s">
        <v>82</v>
      </c>
      <c r="E4" s="17" t="s">
        <v>83</v>
      </c>
      <c r="F4" s="17" t="str">
        <f t="array" ref="F4">IFERROR(INDEX(PL4_TONG_HOP!$F$2:$F$5000,MATCH($C4,PL4_TONG_HOP!$A$2:$A$5000,0)),"")</f>
        <v/>
      </c>
      <c r="G4" s="17">
        <f>COUNTIFS(FILE_UPLOADS!$B:$B,$A4,FILE_UPLOADS!$D:$D,$C4)</f>
        <v>0</v>
      </c>
      <c r="H4" s="17" t="str">
        <f t="shared" si="1"/>
        <v/>
      </c>
    </row>
    <row r="5">
      <c r="A5" s="17" t="s">
        <v>328</v>
      </c>
      <c r="B5" s="17" t="s">
        <v>5</v>
      </c>
      <c r="C5" s="17" t="s">
        <v>87</v>
      </c>
      <c r="D5" s="17" t="s">
        <v>88</v>
      </c>
      <c r="E5" s="17" t="s">
        <v>89</v>
      </c>
      <c r="F5" s="17" t="str">
        <f t="array" ref="F5">IFERROR(INDEX(PL4_TONG_HOP!$F$2:$F$5000,MATCH($C5,PL4_TONG_HOP!$A$2:$A$5000,0)),"")</f>
        <v/>
      </c>
      <c r="G5" s="17">
        <f>COUNTIFS(FILE_UPLOADS!$B:$B,$A5,FILE_UPLOADS!$D:$D,$C5)</f>
        <v>0</v>
      </c>
      <c r="H5" s="17" t="str">
        <f t="shared" si="1"/>
        <v/>
      </c>
    </row>
    <row r="6">
      <c r="A6" s="17" t="s">
        <v>328</v>
      </c>
      <c r="B6" s="17" t="s">
        <v>5</v>
      </c>
      <c r="C6" s="17" t="s">
        <v>90</v>
      </c>
      <c r="D6" s="17" t="s">
        <v>91</v>
      </c>
      <c r="E6" s="17" t="s">
        <v>92</v>
      </c>
      <c r="F6" s="17" t="str">
        <f t="array" ref="F6">IFERROR(INDEX(PL4_TONG_HOP!$F$2:$F$5000,MATCH($C6,PL4_TONG_HOP!$A$2:$A$5000,0)),"")</f>
        <v/>
      </c>
      <c r="G6" s="17">
        <f>COUNTIFS(FILE_UPLOADS!$B:$B,$A6,FILE_UPLOADS!$D:$D,$C6)</f>
        <v>0</v>
      </c>
      <c r="H6" s="17" t="str">
        <f t="shared" si="1"/>
        <v/>
      </c>
    </row>
    <row r="7">
      <c r="A7" s="17" t="s">
        <v>328</v>
      </c>
      <c r="B7" s="17" t="s">
        <v>5</v>
      </c>
      <c r="C7" s="17" t="s">
        <v>93</v>
      </c>
      <c r="D7" s="17" t="s">
        <v>85</v>
      </c>
      <c r="E7" s="17" t="s">
        <v>94</v>
      </c>
      <c r="F7" s="17" t="str">
        <f t="array" ref="F7">IFERROR(INDEX(PL4_TONG_HOP!$F$2:$F$5000,MATCH($C7,PL4_TONG_HOP!$A$2:$A$5000,0)),"")</f>
        <v/>
      </c>
      <c r="G7" s="17">
        <f>COUNTIFS(FILE_UPLOADS!$B:$B,$A7,FILE_UPLOADS!$D:$D,$C7)</f>
        <v>0</v>
      </c>
      <c r="H7" s="17" t="str">
        <f t="shared" si="1"/>
        <v/>
      </c>
    </row>
    <row r="8">
      <c r="A8" s="17" t="s">
        <v>328</v>
      </c>
      <c r="B8" s="17" t="s">
        <v>5</v>
      </c>
      <c r="C8" s="17" t="s">
        <v>95</v>
      </c>
      <c r="D8" s="17" t="s">
        <v>96</v>
      </c>
      <c r="E8" s="17" t="s">
        <v>97</v>
      </c>
      <c r="F8" s="17" t="str">
        <f t="array" ref="F8">IFERROR(INDEX(PL4_TONG_HOP!$F$2:$F$5000,MATCH($C8,PL4_TONG_HOP!$A$2:$A$5000,0)),"")</f>
        <v/>
      </c>
      <c r="G8" s="17">
        <f>COUNTIFS(FILE_UPLOADS!$B:$B,$A8,FILE_UPLOADS!$D:$D,$C8)</f>
        <v>0</v>
      </c>
      <c r="H8" s="17" t="str">
        <f t="shared" si="1"/>
        <v/>
      </c>
    </row>
    <row r="9">
      <c r="A9" s="17" t="s">
        <v>328</v>
      </c>
      <c r="B9" s="17" t="s">
        <v>5</v>
      </c>
      <c r="C9" s="17" t="s">
        <v>98</v>
      </c>
      <c r="D9" s="17" t="s">
        <v>99</v>
      </c>
      <c r="E9" s="17" t="s">
        <v>100</v>
      </c>
      <c r="F9" s="17" t="str">
        <f t="array" ref="F9">IFERROR(INDEX(PL4_TONG_HOP!$F$2:$F$5000,MATCH($C9,PL4_TONG_HOP!$A$2:$A$5000,0)),"")</f>
        <v/>
      </c>
      <c r="G9" s="17">
        <f>COUNTIFS(FILE_UPLOADS!$B:$B,$A9,FILE_UPLOADS!$D:$D,$C9)</f>
        <v>0</v>
      </c>
      <c r="H9" s="17" t="str">
        <f t="shared" si="1"/>
        <v/>
      </c>
    </row>
    <row r="10">
      <c r="A10" s="17" t="s">
        <v>328</v>
      </c>
      <c r="B10" s="17" t="s">
        <v>5</v>
      </c>
      <c r="C10" s="17" t="s">
        <v>101</v>
      </c>
      <c r="D10" s="17" t="s">
        <v>102</v>
      </c>
      <c r="E10" s="17" t="s">
        <v>103</v>
      </c>
      <c r="F10" s="17" t="str">
        <f t="array" ref="F10">IFERROR(INDEX(PL4_TONG_HOP!$F$2:$F$5000,MATCH($C10,PL4_TONG_HOP!$A$2:$A$5000,0)),"")</f>
        <v/>
      </c>
      <c r="G10" s="17">
        <f>COUNTIFS(FILE_UPLOADS!$B:$B,$A10,FILE_UPLOADS!$D:$D,$C10)</f>
        <v>0</v>
      </c>
      <c r="H10" s="17" t="str">
        <f t="shared" si="1"/>
        <v/>
      </c>
    </row>
    <row r="11">
      <c r="A11" s="17" t="s">
        <v>328</v>
      </c>
      <c r="B11" s="17" t="s">
        <v>5</v>
      </c>
      <c r="C11" s="17" t="s">
        <v>113</v>
      </c>
      <c r="D11" s="17" t="s">
        <v>114</v>
      </c>
      <c r="E11" s="17" t="s">
        <v>115</v>
      </c>
      <c r="F11" s="17" t="str">
        <f t="array" ref="F11">IFERROR(INDEX(PL4_TONG_HOP!$F$2:$F$5000,MATCH($C11,PL4_TONG_HOP!$A$2:$A$5000,0)),"")</f>
        <v/>
      </c>
      <c r="G11" s="17">
        <f>COUNTIFS(FILE_UPLOADS!$B:$B,$A11,FILE_UPLOADS!$D:$D,$C11)</f>
        <v>0</v>
      </c>
      <c r="H11" s="17" t="str">
        <f t="shared" si="1"/>
        <v/>
      </c>
    </row>
    <row r="12">
      <c r="A12" s="17" t="s">
        <v>328</v>
      </c>
      <c r="B12" s="17" t="s">
        <v>5</v>
      </c>
      <c r="C12" s="17" t="s">
        <v>116</v>
      </c>
      <c r="D12" s="17" t="s">
        <v>117</v>
      </c>
      <c r="E12" s="17" t="s">
        <v>118</v>
      </c>
      <c r="F12" s="17" t="str">
        <f t="array" ref="F12">IFERROR(INDEX(PL4_TONG_HOP!$F$2:$F$5000,MATCH($C12,PL4_TONG_HOP!$A$2:$A$5000,0)),"")</f>
        <v/>
      </c>
      <c r="G12" s="17">
        <f>COUNTIFS(FILE_UPLOADS!$B:$B,$A12,FILE_UPLOADS!$D:$D,$C12)</f>
        <v>0</v>
      </c>
      <c r="H12" s="17" t="str">
        <f t="shared" si="1"/>
        <v/>
      </c>
    </row>
    <row r="13">
      <c r="A13" s="17" t="s">
        <v>328</v>
      </c>
      <c r="B13" s="17" t="s">
        <v>5</v>
      </c>
      <c r="C13" s="17" t="s">
        <v>119</v>
      </c>
      <c r="D13" s="17" t="s">
        <v>120</v>
      </c>
      <c r="E13" s="17" t="s">
        <v>121</v>
      </c>
      <c r="F13" s="17" t="str">
        <f t="array" ref="F13">IFERROR(INDEX(PL4_TONG_HOP!$F$2:$F$5000,MATCH($C13,PL4_TONG_HOP!$A$2:$A$5000,0)),"")</f>
        <v/>
      </c>
      <c r="G13" s="17">
        <f>COUNTIFS(FILE_UPLOADS!$B:$B,$A13,FILE_UPLOADS!$D:$D,$C13)</f>
        <v>0</v>
      </c>
      <c r="H13" s="17" t="str">
        <f t="shared" si="1"/>
        <v/>
      </c>
    </row>
    <row r="14">
      <c r="A14" s="17" t="s">
        <v>328</v>
      </c>
      <c r="B14" s="17" t="s">
        <v>5</v>
      </c>
      <c r="C14" s="17" t="s">
        <v>122</v>
      </c>
      <c r="D14" s="17" t="s">
        <v>123</v>
      </c>
      <c r="E14" s="17" t="s">
        <v>124</v>
      </c>
      <c r="F14" s="17" t="str">
        <f t="array" ref="F14">IFERROR(INDEX(PL4_TONG_HOP!$F$2:$F$5000,MATCH($C14,PL4_TONG_HOP!$A$2:$A$5000,0)),"")</f>
        <v/>
      </c>
      <c r="G14" s="17">
        <f>COUNTIFS(FILE_UPLOADS!$B:$B,$A14,FILE_UPLOADS!$D:$D,$C14)</f>
        <v>0</v>
      </c>
      <c r="H14" s="17" t="str">
        <f t="shared" si="1"/>
        <v/>
      </c>
    </row>
    <row r="15">
      <c r="A15" s="17" t="s">
        <v>328</v>
      </c>
      <c r="B15" s="17" t="s">
        <v>5</v>
      </c>
      <c r="C15" s="17" t="s">
        <v>125</v>
      </c>
      <c r="D15" s="17" t="s">
        <v>126</v>
      </c>
      <c r="E15" s="17" t="s">
        <v>127</v>
      </c>
      <c r="F15" s="17" t="str">
        <f t="array" ref="F15">IFERROR(INDEX(PL4_TONG_HOP!$F$2:$F$5000,MATCH($C15,PL4_TONG_HOP!$A$2:$A$5000,0)),"")</f>
        <v/>
      </c>
      <c r="G15" s="17">
        <f>COUNTIFS(FILE_UPLOADS!$B:$B,$A15,FILE_UPLOADS!$D:$D,$C15)</f>
        <v>0</v>
      </c>
      <c r="H15" s="17" t="str">
        <f t="shared" si="1"/>
        <v/>
      </c>
    </row>
    <row r="16">
      <c r="A16" s="17" t="s">
        <v>328</v>
      </c>
      <c r="B16" s="17" t="s">
        <v>5</v>
      </c>
      <c r="C16" s="17" t="s">
        <v>128</v>
      </c>
      <c r="D16" s="17" t="s">
        <v>129</v>
      </c>
      <c r="E16" s="17" t="s">
        <v>130</v>
      </c>
      <c r="F16" s="17" t="str">
        <f t="array" ref="F16">IFERROR(INDEX(PL4_TONG_HOP!$F$2:$F$5000,MATCH($C16,PL4_TONG_HOP!$A$2:$A$5000,0)),"")</f>
        <v/>
      </c>
      <c r="G16" s="17">
        <f>COUNTIFS(FILE_UPLOADS!$B:$B,$A16,FILE_UPLOADS!$D:$D,$C16)</f>
        <v>0</v>
      </c>
      <c r="H16" s="17" t="str">
        <f t="shared" si="1"/>
        <v/>
      </c>
    </row>
    <row r="17">
      <c r="A17" s="17" t="s">
        <v>328</v>
      </c>
      <c r="B17" s="17" t="s">
        <v>5</v>
      </c>
      <c r="C17" s="17" t="s">
        <v>131</v>
      </c>
      <c r="D17" s="17" t="s">
        <v>132</v>
      </c>
      <c r="E17" s="17" t="s">
        <v>133</v>
      </c>
      <c r="F17" s="17" t="str">
        <f t="array" ref="F17">IFERROR(INDEX(PL4_TONG_HOP!$F$2:$F$5000,MATCH($C17,PL4_TONG_HOP!$A$2:$A$5000,0)),"")</f>
        <v/>
      </c>
      <c r="G17" s="17">
        <f>COUNTIFS(FILE_UPLOADS!$B:$B,$A17,FILE_UPLOADS!$D:$D,$C17)</f>
        <v>0</v>
      </c>
      <c r="H17" s="17" t="str">
        <f t="shared" si="1"/>
        <v/>
      </c>
    </row>
    <row r="18">
      <c r="A18" s="17" t="s">
        <v>328</v>
      </c>
      <c r="B18" s="17" t="s">
        <v>5</v>
      </c>
      <c r="C18" s="17" t="s">
        <v>134</v>
      </c>
      <c r="D18" s="17" t="s">
        <v>135</v>
      </c>
      <c r="E18" s="17" t="s">
        <v>136</v>
      </c>
      <c r="F18" s="17" t="str">
        <f t="array" ref="F18">IFERROR(INDEX(PL4_TONG_HOP!$F$2:$F$5000,MATCH($C18,PL4_TONG_HOP!$A$2:$A$5000,0)),"")</f>
        <v/>
      </c>
      <c r="G18" s="17">
        <f>COUNTIFS(FILE_UPLOADS!$B:$B,$A18,FILE_UPLOADS!$D:$D,$C18)</f>
        <v>0</v>
      </c>
      <c r="H18" s="17" t="str">
        <f t="shared" si="1"/>
        <v/>
      </c>
    </row>
    <row r="19">
      <c r="A19" s="17" t="s">
        <v>328</v>
      </c>
      <c r="B19" s="17" t="s">
        <v>5</v>
      </c>
      <c r="C19" s="17" t="s">
        <v>140</v>
      </c>
      <c r="D19" s="17" t="s">
        <v>141</v>
      </c>
      <c r="E19" s="17" t="s">
        <v>142</v>
      </c>
      <c r="F19" s="17" t="str">
        <f t="array" ref="F19">IFERROR(INDEX(PL4_TONG_HOP!$F$2:$F$5000,MATCH($C19,PL4_TONG_HOP!$A$2:$A$5000,0)),"")</f>
        <v/>
      </c>
      <c r="G19" s="17">
        <f>COUNTIFS(FILE_UPLOADS!$B:$B,$A19,FILE_UPLOADS!$D:$D,$C19)</f>
        <v>0</v>
      </c>
      <c r="H19" s="17" t="str">
        <f t="shared" si="1"/>
        <v/>
      </c>
    </row>
    <row r="20">
      <c r="A20" s="17" t="s">
        <v>328</v>
      </c>
      <c r="B20" s="17" t="s">
        <v>5</v>
      </c>
      <c r="C20" s="17" t="s">
        <v>143</v>
      </c>
      <c r="D20" s="17" t="s">
        <v>144</v>
      </c>
      <c r="E20" s="17" t="s">
        <v>145</v>
      </c>
      <c r="F20" s="17" t="str">
        <f t="array" ref="F20">IFERROR(INDEX(PL4_TONG_HOP!$F$2:$F$5000,MATCH($C20,PL4_TONG_HOP!$A$2:$A$5000,0)),"")</f>
        <v/>
      </c>
      <c r="G20" s="17">
        <f>COUNTIFS(FILE_UPLOADS!$B:$B,$A20,FILE_UPLOADS!$D:$D,$C20)</f>
        <v>0</v>
      </c>
      <c r="H20" s="17" t="str">
        <f t="shared" si="1"/>
        <v/>
      </c>
    </row>
    <row r="21" ht="15.75" customHeight="1">
      <c r="A21" s="17" t="s">
        <v>328</v>
      </c>
      <c r="B21" s="17" t="s">
        <v>5</v>
      </c>
      <c r="C21" s="17" t="s">
        <v>149</v>
      </c>
      <c r="D21" s="17" t="s">
        <v>150</v>
      </c>
      <c r="E21" s="17" t="s">
        <v>151</v>
      </c>
      <c r="F21" s="17" t="str">
        <f t="array" ref="F21">IFERROR(INDEX(PL4_TONG_HOP!$F$2:$F$5000,MATCH($C21,PL4_TONG_HOP!$A$2:$A$5000,0)),"")</f>
        <v/>
      </c>
      <c r="G21" s="17">
        <f>COUNTIFS(FILE_UPLOADS!$B:$B,$A21,FILE_UPLOADS!$D:$D,$C21)</f>
        <v>0</v>
      </c>
      <c r="H21" s="17" t="str">
        <f t="shared" si="1"/>
        <v/>
      </c>
    </row>
    <row r="22" ht="15.75" customHeight="1">
      <c r="A22" s="17" t="s">
        <v>328</v>
      </c>
      <c r="B22" s="17" t="s">
        <v>5</v>
      </c>
      <c r="C22" s="17" t="s">
        <v>152</v>
      </c>
      <c r="D22" s="17" t="s">
        <v>153</v>
      </c>
      <c r="E22" s="17" t="s">
        <v>154</v>
      </c>
      <c r="F22" s="17" t="str">
        <f t="array" ref="F22">IFERROR(INDEX(PL4_TONG_HOP!$F$2:$F$5000,MATCH($C22,PL4_TONG_HOP!$A$2:$A$5000,0)),"")</f>
        <v/>
      </c>
      <c r="G22" s="17">
        <f>COUNTIFS(FILE_UPLOADS!$B:$B,$A22,FILE_UPLOADS!$D:$D,$C22)</f>
        <v>0</v>
      </c>
      <c r="H22" s="17" t="str">
        <f t="shared" si="1"/>
        <v/>
      </c>
    </row>
    <row r="23" ht="15.75" customHeight="1">
      <c r="A23" s="17" t="s">
        <v>328</v>
      </c>
      <c r="B23" s="17" t="s">
        <v>5</v>
      </c>
      <c r="C23" s="17" t="s">
        <v>155</v>
      </c>
      <c r="D23" s="17" t="s">
        <v>156</v>
      </c>
      <c r="E23" s="17" t="s">
        <v>157</v>
      </c>
      <c r="F23" s="17" t="str">
        <f t="array" ref="F23">IFERROR(INDEX(PL4_TONG_HOP!$F$2:$F$5000,MATCH($C23,PL4_TONG_HOP!$A$2:$A$5000,0)),"")</f>
        <v/>
      </c>
      <c r="G23" s="17">
        <f>COUNTIFS(FILE_UPLOADS!$B:$B,$A23,FILE_UPLOADS!$D:$D,$C23)</f>
        <v>0</v>
      </c>
      <c r="H23" s="17" t="str">
        <f t="shared" si="1"/>
        <v/>
      </c>
    </row>
    <row r="24" ht="15.75" customHeight="1">
      <c r="A24" s="17" t="s">
        <v>328</v>
      </c>
      <c r="B24" s="17" t="s">
        <v>5</v>
      </c>
      <c r="C24" s="17" t="s">
        <v>161</v>
      </c>
      <c r="D24" s="17" t="s">
        <v>162</v>
      </c>
      <c r="E24" s="17" t="s">
        <v>163</v>
      </c>
      <c r="F24" s="17" t="str">
        <f t="array" ref="F24">IFERROR(INDEX(PL4_TONG_HOP!$F$2:$F$5000,MATCH($C24,PL4_TONG_HOP!$A$2:$A$5000,0)),"")</f>
        <v/>
      </c>
      <c r="G24" s="17">
        <f>COUNTIFS(FILE_UPLOADS!$B:$B,$A24,FILE_UPLOADS!$D:$D,$C24)</f>
        <v>0</v>
      </c>
      <c r="H24" s="17" t="str">
        <f t="shared" si="1"/>
        <v/>
      </c>
    </row>
    <row r="25" ht="15.75" customHeight="1">
      <c r="A25" s="17" t="s">
        <v>328</v>
      </c>
      <c r="B25" s="17" t="s">
        <v>5</v>
      </c>
      <c r="C25" s="17" t="s">
        <v>164</v>
      </c>
      <c r="D25" s="17" t="s">
        <v>165</v>
      </c>
      <c r="E25" s="17" t="s">
        <v>166</v>
      </c>
      <c r="F25" s="17" t="str">
        <f t="array" ref="F25">IFERROR(INDEX(PL4_TONG_HOP!$F$2:$F$5000,MATCH($C25,PL4_TONG_HOP!$A$2:$A$5000,0)),"")</f>
        <v/>
      </c>
      <c r="G25" s="17">
        <f>COUNTIFS(FILE_UPLOADS!$B:$B,$A25,FILE_UPLOADS!$D:$D,$C25)</f>
        <v>0</v>
      </c>
      <c r="H25" s="17" t="str">
        <f t="shared" si="1"/>
        <v/>
      </c>
    </row>
    <row r="26" ht="15.75" customHeight="1">
      <c r="A26" s="17" t="s">
        <v>328</v>
      </c>
      <c r="B26" s="17" t="s">
        <v>5</v>
      </c>
      <c r="C26" s="17" t="s">
        <v>167</v>
      </c>
      <c r="D26" s="17" t="s">
        <v>168</v>
      </c>
      <c r="E26" s="17" t="s">
        <v>169</v>
      </c>
      <c r="F26" s="17" t="str">
        <f t="array" ref="F26">IFERROR(INDEX(PL4_TONG_HOP!$F$2:$F$5000,MATCH($C26,PL4_TONG_HOP!$A$2:$A$5000,0)),"")</f>
        <v/>
      </c>
      <c r="G26" s="17">
        <f>COUNTIFS(FILE_UPLOADS!$B:$B,$A26,FILE_UPLOADS!$D:$D,$C26)</f>
        <v>0</v>
      </c>
      <c r="H26" s="17" t="str">
        <f t="shared" si="1"/>
        <v/>
      </c>
    </row>
    <row r="27" ht="15.75" customHeight="1">
      <c r="A27" s="17" t="s">
        <v>328</v>
      </c>
      <c r="B27" s="17" t="s">
        <v>5</v>
      </c>
      <c r="C27" s="17" t="s">
        <v>173</v>
      </c>
      <c r="D27" s="17" t="s">
        <v>174</v>
      </c>
      <c r="E27" s="17" t="s">
        <v>175</v>
      </c>
      <c r="F27" s="17" t="str">
        <f t="array" ref="F27">IFERROR(INDEX(PL4_TONG_HOP!$F$2:$F$5000,MATCH($C27,PL4_TONG_HOP!$A$2:$A$5000,0)),"")</f>
        <v/>
      </c>
      <c r="G27" s="17">
        <f>COUNTIFS(FILE_UPLOADS!$B:$B,$A27,FILE_UPLOADS!$D:$D,$C27)</f>
        <v>0</v>
      </c>
      <c r="H27" s="17" t="str">
        <f t="shared" si="1"/>
        <v/>
      </c>
    </row>
    <row r="28" ht="15.75" customHeight="1">
      <c r="A28" s="17" t="s">
        <v>328</v>
      </c>
      <c r="B28" s="17" t="s">
        <v>5</v>
      </c>
      <c r="C28" s="17" t="s">
        <v>176</v>
      </c>
      <c r="D28" s="17" t="s">
        <v>177</v>
      </c>
      <c r="E28" s="17" t="s">
        <v>178</v>
      </c>
      <c r="F28" s="17" t="str">
        <f t="array" ref="F28">IFERROR(INDEX(PL4_TONG_HOP!$F$2:$F$5000,MATCH($C28,PL4_TONG_HOP!$A$2:$A$5000,0)),"")</f>
        <v/>
      </c>
      <c r="G28" s="17">
        <f>COUNTIFS(FILE_UPLOADS!$B:$B,$A28,FILE_UPLOADS!$D:$D,$C28)</f>
        <v>0</v>
      </c>
      <c r="H28" s="17" t="str">
        <f t="shared" si="1"/>
        <v/>
      </c>
    </row>
    <row r="29" ht="15.75" customHeight="1">
      <c r="A29" s="17" t="s">
        <v>328</v>
      </c>
      <c r="B29" s="17" t="s">
        <v>5</v>
      </c>
      <c r="C29" s="17" t="s">
        <v>212</v>
      </c>
      <c r="D29" s="17" t="s">
        <v>213</v>
      </c>
      <c r="E29" s="17" t="s">
        <v>214</v>
      </c>
      <c r="F29" s="17" t="str">
        <f t="array" ref="F29">IFERROR(INDEX(PL4_TONG_HOP!$F$2:$F$5000,MATCH($C29,PL4_TONG_HOP!$A$2:$A$5000,0)),"")</f>
        <v/>
      </c>
      <c r="G29" s="17">
        <f>COUNTIFS(FILE_UPLOADS!$B:$B,$A29,FILE_UPLOADS!$D:$D,$C29)</f>
        <v>0</v>
      </c>
      <c r="H29" s="17" t="str">
        <f t="shared" si="1"/>
        <v/>
      </c>
    </row>
    <row r="30" ht="15.75" customHeight="1">
      <c r="A30" s="17" t="s">
        <v>328</v>
      </c>
      <c r="B30" s="17" t="s">
        <v>5</v>
      </c>
      <c r="C30" s="17" t="s">
        <v>215</v>
      </c>
      <c r="D30" s="17" t="s">
        <v>216</v>
      </c>
      <c r="E30" s="17" t="s">
        <v>217</v>
      </c>
      <c r="F30" s="17" t="str">
        <f t="array" ref="F30">IFERROR(INDEX(PL4_TONG_HOP!$F$2:$F$5000,MATCH($C30,PL4_TONG_HOP!$A$2:$A$5000,0)),"")</f>
        <v/>
      </c>
      <c r="G30" s="17">
        <f>COUNTIFS(FILE_UPLOADS!$B:$B,$A30,FILE_UPLOADS!$D:$D,$C30)</f>
        <v>0</v>
      </c>
      <c r="H30" s="17" t="str">
        <f t="shared" si="1"/>
        <v/>
      </c>
    </row>
    <row r="31" ht="15.75" customHeight="1">
      <c r="A31" s="17" t="s">
        <v>328</v>
      </c>
      <c r="B31" s="17" t="s">
        <v>5</v>
      </c>
      <c r="C31" s="17" t="s">
        <v>227</v>
      </c>
      <c r="D31" s="17" t="s">
        <v>228</v>
      </c>
      <c r="E31" s="17" t="s">
        <v>229</v>
      </c>
      <c r="F31" s="17" t="str">
        <f t="array" ref="F31">IFERROR(INDEX(PL4_TONG_HOP!$F$2:$F$5000,MATCH($C31,PL4_TONG_HOP!$A$2:$A$5000,0)),"")</f>
        <v/>
      </c>
      <c r="G31" s="17">
        <f>COUNTIFS(FILE_UPLOADS!$B:$B,$A31,FILE_UPLOADS!$D:$D,$C31)</f>
        <v>0</v>
      </c>
      <c r="H31" s="17" t="str">
        <f t="shared" si="1"/>
        <v/>
      </c>
    </row>
    <row r="32" ht="15.75" customHeight="1">
      <c r="A32" s="17" t="s">
        <v>328</v>
      </c>
      <c r="B32" s="17" t="s">
        <v>5</v>
      </c>
      <c r="C32" s="17" t="s">
        <v>230</v>
      </c>
      <c r="D32" s="17" t="s">
        <v>231</v>
      </c>
      <c r="E32" s="17" t="s">
        <v>232</v>
      </c>
      <c r="F32" s="17" t="str">
        <f t="array" ref="F32">IFERROR(INDEX(PL4_TONG_HOP!$F$2:$F$5000,MATCH($C32,PL4_TONG_HOP!$A$2:$A$5000,0)),"")</f>
        <v/>
      </c>
      <c r="G32" s="17">
        <f>COUNTIFS(FILE_UPLOADS!$B:$B,$A32,FILE_UPLOADS!$D:$D,$C32)</f>
        <v>0</v>
      </c>
      <c r="H32" s="17" t="str">
        <f t="shared" si="1"/>
        <v/>
      </c>
    </row>
    <row r="33" ht="15.75" customHeight="1">
      <c r="A33" s="17" t="s">
        <v>328</v>
      </c>
      <c r="B33" s="17" t="s">
        <v>5</v>
      </c>
      <c r="C33" s="17" t="s">
        <v>236</v>
      </c>
      <c r="D33" s="17" t="s">
        <v>237</v>
      </c>
      <c r="E33" s="17" t="s">
        <v>238</v>
      </c>
      <c r="F33" s="17" t="str">
        <f t="array" ref="F33">IFERROR(INDEX(PL4_TONG_HOP!$F$2:$F$5000,MATCH($C33,PL4_TONG_HOP!$A$2:$A$5000,0)),"")</f>
        <v/>
      </c>
      <c r="G33" s="17">
        <f>COUNTIFS(FILE_UPLOADS!$B:$B,$A33,FILE_UPLOADS!$D:$D,$C33)</f>
        <v>0</v>
      </c>
      <c r="H33" s="17" t="str">
        <f t="shared" si="1"/>
        <v/>
      </c>
    </row>
    <row r="34" ht="15.75" customHeight="1">
      <c r="A34" s="17" t="s">
        <v>328</v>
      </c>
      <c r="B34" s="17" t="s">
        <v>5</v>
      </c>
      <c r="C34" s="17" t="s">
        <v>239</v>
      </c>
      <c r="D34" s="17" t="s">
        <v>240</v>
      </c>
      <c r="E34" s="17" t="s">
        <v>241</v>
      </c>
      <c r="F34" s="17" t="str">
        <f t="array" ref="F34">IFERROR(INDEX(PL4_TONG_HOP!$F$2:$F$5000,MATCH($C34,PL4_TONG_HOP!$A$2:$A$5000,0)),"")</f>
        <v/>
      </c>
      <c r="G34" s="17">
        <f>COUNTIFS(FILE_UPLOADS!$B:$B,$A34,FILE_UPLOADS!$D:$D,$C34)</f>
        <v>0</v>
      </c>
      <c r="H34" s="17" t="str">
        <f t="shared" si="1"/>
        <v/>
      </c>
    </row>
    <row r="35" ht="15.75" customHeight="1">
      <c r="A35" s="17" t="s">
        <v>328</v>
      </c>
      <c r="B35" s="17" t="s">
        <v>5</v>
      </c>
      <c r="C35" s="17" t="s">
        <v>242</v>
      </c>
      <c r="D35" s="17" t="s">
        <v>243</v>
      </c>
      <c r="E35" s="17" t="s">
        <v>244</v>
      </c>
      <c r="F35" s="17" t="str">
        <f t="array" ref="F35">IFERROR(INDEX(PL4_TONG_HOP!$F$2:$F$5000,MATCH($C35,PL4_TONG_HOP!$A$2:$A$5000,0)),"")</f>
        <v/>
      </c>
      <c r="G35" s="17">
        <f>COUNTIFS(FILE_UPLOADS!$B:$B,$A35,FILE_UPLOADS!$D:$D,$C35)</f>
        <v>0</v>
      </c>
      <c r="H35" s="17" t="str">
        <f t="shared" si="1"/>
        <v/>
      </c>
    </row>
    <row r="36" ht="15.75" customHeight="1">
      <c r="A36" s="17" t="s">
        <v>328</v>
      </c>
      <c r="B36" s="17" t="s">
        <v>5</v>
      </c>
      <c r="C36" s="17" t="s">
        <v>248</v>
      </c>
      <c r="D36" s="17" t="s">
        <v>249</v>
      </c>
      <c r="E36" s="17" t="s">
        <v>250</v>
      </c>
      <c r="F36" s="17" t="str">
        <f t="array" ref="F36">IFERROR(INDEX(PL4_TONG_HOP!$F$2:$F$5000,MATCH($C36,PL4_TONG_HOP!$A$2:$A$5000,0)),"")</f>
        <v/>
      </c>
      <c r="G36" s="17">
        <f>COUNTIFS(FILE_UPLOADS!$B:$B,$A36,FILE_UPLOADS!$D:$D,$C36)</f>
        <v>0</v>
      </c>
      <c r="H36" s="17" t="str">
        <f t="shared" si="1"/>
        <v/>
      </c>
    </row>
    <row r="37" ht="15.75" customHeight="1">
      <c r="A37" s="17" t="s">
        <v>328</v>
      </c>
      <c r="B37" s="17" t="s">
        <v>5</v>
      </c>
      <c r="C37" s="17" t="s">
        <v>251</v>
      </c>
      <c r="D37" s="17" t="s">
        <v>252</v>
      </c>
      <c r="E37" s="17" t="s">
        <v>253</v>
      </c>
      <c r="F37" s="17" t="str">
        <f t="array" ref="F37">IFERROR(INDEX(PL4_TONG_HOP!$F$2:$F$5000,MATCH($C37,PL4_TONG_HOP!$A$2:$A$5000,0)),"")</f>
        <v/>
      </c>
      <c r="G37" s="17">
        <f>COUNTIFS(FILE_UPLOADS!$B:$B,$A37,FILE_UPLOADS!$D:$D,$C37)</f>
        <v>0</v>
      </c>
      <c r="H37" s="17" t="str">
        <f t="shared" si="1"/>
        <v/>
      </c>
    </row>
    <row r="38" ht="15.75" customHeight="1">
      <c r="A38" s="17" t="s">
        <v>328</v>
      </c>
      <c r="B38" s="17" t="s">
        <v>5</v>
      </c>
      <c r="C38" s="17" t="s">
        <v>254</v>
      </c>
      <c r="D38" s="17" t="s">
        <v>255</v>
      </c>
      <c r="E38" s="17" t="s">
        <v>256</v>
      </c>
      <c r="F38" s="17" t="str">
        <f t="array" ref="F38">IFERROR(INDEX(PL4_TONG_HOP!$F$2:$F$5000,MATCH($C38,PL4_TONG_HOP!$A$2:$A$5000,0)),"")</f>
        <v/>
      </c>
      <c r="G38" s="17">
        <f>COUNTIFS(FILE_UPLOADS!$B:$B,$A38,FILE_UPLOADS!$D:$D,$C38)</f>
        <v>0</v>
      </c>
      <c r="H38" s="17" t="str">
        <f t="shared" si="1"/>
        <v/>
      </c>
    </row>
    <row r="39" ht="15.75" customHeight="1">
      <c r="A39" s="17" t="s">
        <v>328</v>
      </c>
      <c r="B39" s="17" t="s">
        <v>5</v>
      </c>
      <c r="C39" s="17" t="s">
        <v>260</v>
      </c>
      <c r="D39" s="17" t="s">
        <v>261</v>
      </c>
      <c r="E39" s="17" t="s">
        <v>262</v>
      </c>
      <c r="F39" s="17" t="str">
        <f t="array" ref="F39">IFERROR(INDEX(PL4_TONG_HOP!$F$2:$F$5000,MATCH($C39,PL4_TONG_HOP!$A$2:$A$5000,0)),"")</f>
        <v/>
      </c>
      <c r="G39" s="17">
        <f>COUNTIFS(FILE_UPLOADS!$B:$B,$A39,FILE_UPLOADS!$D:$D,$C39)</f>
        <v>0</v>
      </c>
      <c r="H39" s="17" t="str">
        <f t="shared" si="1"/>
        <v/>
      </c>
    </row>
    <row r="40" ht="15.75" customHeight="1">
      <c r="A40" s="17" t="s">
        <v>328</v>
      </c>
      <c r="B40" s="17" t="s">
        <v>5</v>
      </c>
      <c r="C40" s="17" t="s">
        <v>263</v>
      </c>
      <c r="D40" s="17" t="s">
        <v>264</v>
      </c>
      <c r="E40" s="17" t="s">
        <v>265</v>
      </c>
      <c r="F40" s="17" t="str">
        <f t="array" ref="F40">IFERROR(INDEX(PL4_TONG_HOP!$F$2:$F$5000,MATCH($C40,PL4_TONG_HOP!$A$2:$A$5000,0)),"")</f>
        <v/>
      </c>
      <c r="G40" s="17">
        <f>COUNTIFS(FILE_UPLOADS!$B:$B,$A40,FILE_UPLOADS!$D:$D,$C40)</f>
        <v>0</v>
      </c>
      <c r="H40" s="17" t="str">
        <f t="shared" si="1"/>
        <v/>
      </c>
    </row>
    <row r="41" ht="15.75" customHeight="1">
      <c r="A41" s="17" t="s">
        <v>328</v>
      </c>
      <c r="B41" s="17" t="s">
        <v>5</v>
      </c>
      <c r="C41" s="17" t="s">
        <v>266</v>
      </c>
      <c r="D41" s="17" t="s">
        <v>267</v>
      </c>
      <c r="E41" s="17" t="s">
        <v>268</v>
      </c>
      <c r="F41" s="17" t="str">
        <f t="array" ref="F41">IFERROR(INDEX(PL4_TONG_HOP!$F$2:$F$5000,MATCH($C41,PL4_TONG_HOP!$A$2:$A$5000,0)),"")</f>
        <v/>
      </c>
      <c r="G41" s="17">
        <f>COUNTIFS(FILE_UPLOADS!$B:$B,$A41,FILE_UPLOADS!$D:$D,$C41)</f>
        <v>0</v>
      </c>
      <c r="H41" s="17" t="str">
        <f t="shared" si="1"/>
        <v/>
      </c>
    </row>
    <row r="42" ht="15.75" customHeight="1">
      <c r="A42" s="17" t="s">
        <v>328</v>
      </c>
      <c r="B42" s="17" t="s">
        <v>5</v>
      </c>
      <c r="C42" s="17" t="s">
        <v>269</v>
      </c>
      <c r="D42" s="17" t="s">
        <v>270</v>
      </c>
      <c r="E42" s="17" t="s">
        <v>271</v>
      </c>
      <c r="F42" s="17" t="str">
        <f t="array" ref="F42">IFERROR(INDEX(PL4_TONG_HOP!$F$2:$F$5000,MATCH($C42,PL4_TONG_HOP!$A$2:$A$5000,0)),"")</f>
        <v/>
      </c>
      <c r="G42" s="17">
        <f>COUNTIFS(FILE_UPLOADS!$B:$B,$A42,FILE_UPLOADS!$D:$D,$C42)</f>
        <v>0</v>
      </c>
      <c r="H42" s="17" t="str">
        <f t="shared" si="1"/>
        <v/>
      </c>
    </row>
    <row r="43" ht="15.75" customHeight="1">
      <c r="A43" s="17" t="s">
        <v>328</v>
      </c>
      <c r="B43" s="17" t="s">
        <v>5</v>
      </c>
      <c r="C43" s="17" t="s">
        <v>272</v>
      </c>
      <c r="D43" s="17" t="s">
        <v>273</v>
      </c>
      <c r="E43" s="17" t="s">
        <v>274</v>
      </c>
      <c r="F43" s="17" t="str">
        <f t="array" ref="F43">IFERROR(INDEX(PL4_TONG_HOP!$F$2:$F$5000,MATCH($C43,PL4_TONG_HOP!$A$2:$A$5000,0)),"")</f>
        <v/>
      </c>
      <c r="G43" s="17">
        <f>COUNTIFS(FILE_UPLOADS!$B:$B,$A43,FILE_UPLOADS!$D:$D,$C43)</f>
        <v>0</v>
      </c>
      <c r="H43" s="17" t="str">
        <f t="shared" si="1"/>
        <v/>
      </c>
    </row>
    <row r="44" ht="15.75" customHeight="1">
      <c r="A44" s="17" t="s">
        <v>328</v>
      </c>
      <c r="B44" s="17" t="s">
        <v>5</v>
      </c>
      <c r="C44" s="17" t="s">
        <v>275</v>
      </c>
      <c r="D44" s="17" t="s">
        <v>276</v>
      </c>
      <c r="E44" s="17" t="s">
        <v>277</v>
      </c>
      <c r="F44" s="17" t="str">
        <f t="array" ref="F44">IFERROR(INDEX(PL4_TONG_HOP!$F$2:$F$5000,MATCH($C44,PL4_TONG_HOP!$A$2:$A$5000,0)),"")</f>
        <v/>
      </c>
      <c r="G44" s="17">
        <f>COUNTIFS(FILE_UPLOADS!$B:$B,$A44,FILE_UPLOADS!$D:$D,$C44)</f>
        <v>0</v>
      </c>
      <c r="H44" s="17" t="str">
        <f t="shared" si="1"/>
        <v/>
      </c>
    </row>
    <row r="45" ht="15.75" customHeight="1">
      <c r="A45" s="17" t="s">
        <v>328</v>
      </c>
      <c r="B45" s="17" t="s">
        <v>5</v>
      </c>
      <c r="C45" s="17" t="s">
        <v>278</v>
      </c>
      <c r="D45" s="17" t="s">
        <v>279</v>
      </c>
      <c r="E45" s="17" t="s">
        <v>280</v>
      </c>
      <c r="F45" s="17" t="str">
        <f t="array" ref="F45">IFERROR(INDEX(PL4_TONG_HOP!$F$2:$F$5000,MATCH($C45,PL4_TONG_HOP!$A$2:$A$5000,0)),"")</f>
        <v/>
      </c>
      <c r="G45" s="17">
        <f>COUNTIFS(FILE_UPLOADS!$B:$B,$A45,FILE_UPLOADS!$D:$D,$C45)</f>
        <v>0</v>
      </c>
      <c r="H45" s="17" t="str">
        <f t="shared" si="1"/>
        <v/>
      </c>
    </row>
    <row r="46" ht="15.75" customHeight="1">
      <c r="A46" s="17" t="s">
        <v>328</v>
      </c>
      <c r="B46" s="17" t="s">
        <v>5</v>
      </c>
      <c r="C46" s="17" t="s">
        <v>281</v>
      </c>
      <c r="D46" s="17" t="s">
        <v>282</v>
      </c>
      <c r="E46" s="17" t="s">
        <v>283</v>
      </c>
      <c r="F46" s="17" t="str">
        <f t="array" ref="F46">IFERROR(INDEX(PL4_TONG_HOP!$F$2:$F$5000,MATCH($C46,PL4_TONG_HOP!$A$2:$A$5000,0)),"")</f>
        <v/>
      </c>
      <c r="G46" s="17">
        <f>COUNTIFS(FILE_UPLOADS!$B:$B,$A46,FILE_UPLOADS!$D:$D,$C46)</f>
        <v>0</v>
      </c>
      <c r="H46" s="17" t="str">
        <f t="shared" si="1"/>
        <v/>
      </c>
    </row>
    <row r="47" ht="15.75" customHeight="1">
      <c r="A47" s="17" t="s">
        <v>328</v>
      </c>
      <c r="B47" s="17" t="s">
        <v>5</v>
      </c>
      <c r="C47" s="17" t="s">
        <v>290</v>
      </c>
      <c r="D47" s="17" t="s">
        <v>291</v>
      </c>
      <c r="E47" s="17" t="s">
        <v>292</v>
      </c>
      <c r="F47" s="17" t="str">
        <f t="array" ref="F47">IFERROR(INDEX(PL4_TONG_HOP!$F$2:$F$5000,MATCH($C47,PL4_TONG_HOP!$A$2:$A$5000,0)),"")</f>
        <v/>
      </c>
      <c r="G47" s="17">
        <f>COUNTIFS(FILE_UPLOADS!$B:$B,$A47,FILE_UPLOADS!$D:$D,$C47)</f>
        <v>0</v>
      </c>
      <c r="H47" s="17" t="str">
        <f t="shared" si="1"/>
        <v/>
      </c>
    </row>
    <row r="48" ht="15.75" customHeight="1">
      <c r="A48" s="17" t="s">
        <v>328</v>
      </c>
      <c r="B48" s="17" t="s">
        <v>5</v>
      </c>
      <c r="C48" s="17" t="s">
        <v>293</v>
      </c>
      <c r="D48" s="17" t="s">
        <v>294</v>
      </c>
      <c r="E48" s="17" t="s">
        <v>295</v>
      </c>
      <c r="F48" s="17" t="str">
        <f t="array" ref="F48">IFERROR(INDEX(PL4_TONG_HOP!$F$2:$F$5000,MATCH($C48,PL4_TONG_HOP!$A$2:$A$5000,0)),"")</f>
        <v/>
      </c>
      <c r="G48" s="17">
        <f>COUNTIFS(FILE_UPLOADS!$B:$B,$A48,FILE_UPLOADS!$D:$D,$C48)</f>
        <v>0</v>
      </c>
      <c r="H48" s="17" t="str">
        <f t="shared" si="1"/>
        <v/>
      </c>
    </row>
    <row r="49" ht="15.75" customHeight="1">
      <c r="A49" s="17" t="s">
        <v>328</v>
      </c>
      <c r="B49" s="17" t="s">
        <v>5</v>
      </c>
      <c r="C49" s="17" t="s">
        <v>299</v>
      </c>
      <c r="D49" s="17" t="s">
        <v>300</v>
      </c>
      <c r="E49" s="17" t="s">
        <v>301</v>
      </c>
      <c r="F49" s="17" t="str">
        <f t="array" ref="F49">IFERROR(INDEX(PL4_TONG_HOP!$F$2:$F$5000,MATCH($C49,PL4_TONG_HOP!$A$2:$A$5000,0)),"")</f>
        <v/>
      </c>
      <c r="G49" s="17">
        <f>COUNTIFS(FILE_UPLOADS!$B:$B,$A49,FILE_UPLOADS!$D:$D,$C49)</f>
        <v>0</v>
      </c>
      <c r="H49" s="17" t="str">
        <f t="shared" si="1"/>
        <v/>
      </c>
    </row>
    <row r="50" ht="15.75" customHeight="1">
      <c r="A50" s="17" t="s">
        <v>328</v>
      </c>
      <c r="B50" s="17" t="s">
        <v>5</v>
      </c>
      <c r="C50" s="17" t="s">
        <v>302</v>
      </c>
      <c r="D50" s="17" t="s">
        <v>303</v>
      </c>
      <c r="E50" s="17" t="s">
        <v>304</v>
      </c>
      <c r="F50" s="17" t="str">
        <f t="array" ref="F50">IFERROR(INDEX(PL4_TONG_HOP!$F$2:$F$5000,MATCH($C50,PL4_TONG_HOP!$A$2:$A$5000,0)),"")</f>
        <v/>
      </c>
      <c r="G50" s="17">
        <f>COUNTIFS(FILE_UPLOADS!$B:$B,$A50,FILE_UPLOADS!$D:$D,$C50)</f>
        <v>0</v>
      </c>
      <c r="H50" s="17" t="str">
        <f t="shared" si="1"/>
        <v/>
      </c>
    </row>
    <row r="51" ht="15.75" customHeight="1">
      <c r="A51" s="17" t="s">
        <v>328</v>
      </c>
      <c r="B51" s="17" t="s">
        <v>5</v>
      </c>
      <c r="C51" s="17" t="s">
        <v>308</v>
      </c>
      <c r="D51" s="17" t="s">
        <v>309</v>
      </c>
      <c r="E51" s="17" t="s">
        <v>310</v>
      </c>
      <c r="F51" s="17" t="str">
        <f t="array" ref="F51">IFERROR(INDEX(PL4_TONG_HOP!$F$2:$F$5000,MATCH($C51,PL4_TONG_HOP!$A$2:$A$5000,0)),"")</f>
        <v/>
      </c>
      <c r="G51" s="17">
        <f>COUNTIFS(FILE_UPLOADS!$B:$B,$A51,FILE_UPLOADS!$D:$D,$C51)</f>
        <v>0</v>
      </c>
      <c r="H51" s="17" t="str">
        <f t="shared" si="1"/>
        <v/>
      </c>
    </row>
    <row r="52" ht="15.75" customHeight="1">
      <c r="A52" s="17" t="s">
        <v>328</v>
      </c>
      <c r="B52" s="17" t="s">
        <v>5</v>
      </c>
      <c r="C52" s="17" t="s">
        <v>311</v>
      </c>
      <c r="D52" s="17" t="s">
        <v>312</v>
      </c>
      <c r="E52" s="17" t="s">
        <v>313</v>
      </c>
      <c r="F52" s="17" t="str">
        <f t="array" ref="F52">IFERROR(INDEX(PL4_TONG_HOP!$F$2:$F$5000,MATCH($C52,PL4_TONG_HOP!$A$2:$A$5000,0)),"")</f>
        <v/>
      </c>
      <c r="G52" s="17">
        <f>COUNTIFS(FILE_UPLOADS!$B:$B,$A52,FILE_UPLOADS!$D:$D,$C52)</f>
        <v>0</v>
      </c>
      <c r="H52" s="17" t="str">
        <f t="shared" si="1"/>
        <v/>
      </c>
    </row>
    <row r="53" ht="15.75" customHeight="1">
      <c r="A53" s="17" t="s">
        <v>328</v>
      </c>
      <c r="B53" s="17" t="s">
        <v>5</v>
      </c>
      <c r="C53" s="17" t="s">
        <v>314</v>
      </c>
      <c r="D53" s="17" t="s">
        <v>315</v>
      </c>
      <c r="E53" s="17" t="s">
        <v>316</v>
      </c>
      <c r="F53" s="17" t="str">
        <f t="array" ref="F53">IFERROR(INDEX(PL4_TONG_HOP!$F$2:$F$5000,MATCH($C53,PL4_TONG_HOP!$A$2:$A$5000,0)),"")</f>
        <v/>
      </c>
      <c r="G53" s="17">
        <f>COUNTIFS(FILE_UPLOADS!$B:$B,$A53,FILE_UPLOADS!$D:$D,$C53)</f>
        <v>0</v>
      </c>
      <c r="H53" s="17" t="str">
        <f t="shared" si="1"/>
        <v/>
      </c>
    </row>
    <row r="54" ht="15.75" customHeight="1">
      <c r="A54" s="17" t="s">
        <v>329</v>
      </c>
      <c r="B54" s="17" t="s">
        <v>6</v>
      </c>
      <c r="C54" s="17" t="s">
        <v>46</v>
      </c>
      <c r="D54" s="17" t="s">
        <v>47</v>
      </c>
      <c r="E54" s="17" t="s">
        <v>48</v>
      </c>
      <c r="F54" s="17" t="str">
        <f t="array" ref="F54">IFERROR(INDEX(PL4_TONG_HOP!$G$2:$G$5000,MATCH($C54,PL4_TONG_HOP!$A$2:$A$5000,0)),"")</f>
        <v/>
      </c>
      <c r="G54" s="17">
        <f>COUNTIFS(FILE_UPLOADS!$B:$B,$A54,FILE_UPLOADS!$D:$D,$C54)</f>
        <v>0</v>
      </c>
      <c r="H54" s="17" t="str">
        <f t="shared" si="1"/>
        <v/>
      </c>
    </row>
    <row r="55" ht="15.75" customHeight="1">
      <c r="A55" s="17" t="s">
        <v>329</v>
      </c>
      <c r="B55" s="17" t="s">
        <v>6</v>
      </c>
      <c r="C55" s="17" t="s">
        <v>78</v>
      </c>
      <c r="D55" s="17" t="s">
        <v>79</v>
      </c>
      <c r="E55" s="17" t="s">
        <v>80</v>
      </c>
      <c r="F55" s="17" t="str">
        <f t="array" ref="F55">IFERROR(INDEX(PL4_TONG_HOP!$G$2:$G$5000,MATCH($C55,PL4_TONG_HOP!$A$2:$A$5000,0)),"")</f>
        <v/>
      </c>
      <c r="G55" s="17">
        <f>COUNTIFS(FILE_UPLOADS!$B:$B,$A55,FILE_UPLOADS!$D:$D,$C55)</f>
        <v>0</v>
      </c>
      <c r="H55" s="17" t="str">
        <f t="shared" si="1"/>
        <v/>
      </c>
    </row>
    <row r="56" ht="15.75" customHeight="1">
      <c r="A56" s="17" t="s">
        <v>329</v>
      </c>
      <c r="B56" s="17" t="s">
        <v>6</v>
      </c>
      <c r="C56" s="17" t="s">
        <v>81</v>
      </c>
      <c r="D56" s="17" t="s">
        <v>82</v>
      </c>
      <c r="E56" s="17" t="s">
        <v>83</v>
      </c>
      <c r="F56" s="17" t="str">
        <f t="array" ref="F56">IFERROR(INDEX(PL4_TONG_HOP!$G$2:$G$5000,MATCH($C56,PL4_TONG_HOP!$A$2:$A$5000,0)),"")</f>
        <v/>
      </c>
      <c r="G56" s="17">
        <f>COUNTIFS(FILE_UPLOADS!$B:$B,$A56,FILE_UPLOADS!$D:$D,$C56)</f>
        <v>0</v>
      </c>
      <c r="H56" s="17" t="str">
        <f t="shared" si="1"/>
        <v/>
      </c>
    </row>
    <row r="57" ht="15.75" customHeight="1">
      <c r="A57" s="17" t="s">
        <v>329</v>
      </c>
      <c r="B57" s="17" t="s">
        <v>6</v>
      </c>
      <c r="C57" s="17" t="s">
        <v>87</v>
      </c>
      <c r="D57" s="17" t="s">
        <v>88</v>
      </c>
      <c r="E57" s="17" t="s">
        <v>89</v>
      </c>
      <c r="F57" s="17" t="str">
        <f t="array" ref="F57">IFERROR(INDEX(PL4_TONG_HOP!$G$2:$G$5000,MATCH($C57,PL4_TONG_HOP!$A$2:$A$5000,0)),"")</f>
        <v/>
      </c>
      <c r="G57" s="17">
        <f>COUNTIFS(FILE_UPLOADS!$B:$B,$A57,FILE_UPLOADS!$D:$D,$C57)</f>
        <v>0</v>
      </c>
      <c r="H57" s="17" t="str">
        <f t="shared" si="1"/>
        <v/>
      </c>
    </row>
    <row r="58" ht="15.75" customHeight="1">
      <c r="A58" s="17" t="s">
        <v>329</v>
      </c>
      <c r="B58" s="17" t="s">
        <v>6</v>
      </c>
      <c r="C58" s="17" t="s">
        <v>90</v>
      </c>
      <c r="D58" s="17" t="s">
        <v>91</v>
      </c>
      <c r="E58" s="17" t="s">
        <v>92</v>
      </c>
      <c r="F58" s="17" t="str">
        <f t="array" ref="F58">IFERROR(INDEX(PL4_TONG_HOP!$G$2:$G$5000,MATCH($C58,PL4_TONG_HOP!$A$2:$A$5000,0)),"")</f>
        <v/>
      </c>
      <c r="G58" s="17">
        <f>COUNTIFS(FILE_UPLOADS!$B:$B,$A58,FILE_UPLOADS!$D:$D,$C58)</f>
        <v>0</v>
      </c>
      <c r="H58" s="17" t="str">
        <f t="shared" si="1"/>
        <v/>
      </c>
    </row>
    <row r="59" ht="15.75" customHeight="1">
      <c r="A59" s="17" t="s">
        <v>329</v>
      </c>
      <c r="B59" s="17" t="s">
        <v>6</v>
      </c>
      <c r="C59" s="17" t="s">
        <v>93</v>
      </c>
      <c r="D59" s="17" t="s">
        <v>85</v>
      </c>
      <c r="E59" s="17" t="s">
        <v>94</v>
      </c>
      <c r="F59" s="17" t="str">
        <f t="array" ref="F59">IFERROR(INDEX(PL4_TONG_HOP!$G$2:$G$5000,MATCH($C59,PL4_TONG_HOP!$A$2:$A$5000,0)),"")</f>
        <v/>
      </c>
      <c r="G59" s="17">
        <f>COUNTIFS(FILE_UPLOADS!$B:$B,$A59,FILE_UPLOADS!$D:$D,$C59)</f>
        <v>0</v>
      </c>
      <c r="H59" s="17" t="str">
        <f t="shared" si="1"/>
        <v/>
      </c>
    </row>
    <row r="60" ht="15.75" customHeight="1">
      <c r="A60" s="17" t="s">
        <v>329</v>
      </c>
      <c r="B60" s="17" t="s">
        <v>6</v>
      </c>
      <c r="C60" s="17" t="s">
        <v>95</v>
      </c>
      <c r="D60" s="17" t="s">
        <v>96</v>
      </c>
      <c r="E60" s="17" t="s">
        <v>97</v>
      </c>
      <c r="F60" s="17" t="str">
        <f t="array" ref="F60">IFERROR(INDEX(PL4_TONG_HOP!$G$2:$G$5000,MATCH($C60,PL4_TONG_HOP!$A$2:$A$5000,0)),"")</f>
        <v/>
      </c>
      <c r="G60" s="17">
        <f>COUNTIFS(FILE_UPLOADS!$B:$B,$A60,FILE_UPLOADS!$D:$D,$C60)</f>
        <v>0</v>
      </c>
      <c r="H60" s="17" t="str">
        <f t="shared" si="1"/>
        <v/>
      </c>
    </row>
    <row r="61" ht="15.75" customHeight="1">
      <c r="A61" s="17" t="s">
        <v>329</v>
      </c>
      <c r="B61" s="17" t="s">
        <v>6</v>
      </c>
      <c r="C61" s="17" t="s">
        <v>98</v>
      </c>
      <c r="D61" s="17" t="s">
        <v>99</v>
      </c>
      <c r="E61" s="17" t="s">
        <v>100</v>
      </c>
      <c r="F61" s="17" t="str">
        <f t="array" ref="F61">IFERROR(INDEX(PL4_TONG_HOP!$G$2:$G$5000,MATCH($C61,PL4_TONG_HOP!$A$2:$A$5000,0)),"")</f>
        <v/>
      </c>
      <c r="G61" s="17">
        <f>COUNTIFS(FILE_UPLOADS!$B:$B,$A61,FILE_UPLOADS!$D:$D,$C61)</f>
        <v>0</v>
      </c>
      <c r="H61" s="17" t="str">
        <f t="shared" si="1"/>
        <v/>
      </c>
    </row>
    <row r="62" ht="15.75" customHeight="1">
      <c r="A62" s="17" t="s">
        <v>329</v>
      </c>
      <c r="B62" s="17" t="s">
        <v>6</v>
      </c>
      <c r="C62" s="17" t="s">
        <v>101</v>
      </c>
      <c r="D62" s="17" t="s">
        <v>102</v>
      </c>
      <c r="E62" s="17" t="s">
        <v>103</v>
      </c>
      <c r="F62" s="17" t="str">
        <f t="array" ref="F62">IFERROR(INDEX(PL4_TONG_HOP!$G$2:$G$5000,MATCH($C62,PL4_TONG_HOP!$A$2:$A$5000,0)),"")</f>
        <v/>
      </c>
      <c r="G62" s="17">
        <f>COUNTIFS(FILE_UPLOADS!$B:$B,$A62,FILE_UPLOADS!$D:$D,$C62)</f>
        <v>0</v>
      </c>
      <c r="H62" s="17" t="str">
        <f t="shared" si="1"/>
        <v/>
      </c>
    </row>
    <row r="63" ht="15.75" customHeight="1">
      <c r="A63" s="17" t="s">
        <v>329</v>
      </c>
      <c r="B63" s="17" t="s">
        <v>6</v>
      </c>
      <c r="C63" s="17" t="s">
        <v>113</v>
      </c>
      <c r="D63" s="17" t="s">
        <v>114</v>
      </c>
      <c r="E63" s="17" t="s">
        <v>115</v>
      </c>
      <c r="F63" s="17" t="str">
        <f t="array" ref="F63">IFERROR(INDEX(PL4_TONG_HOP!$G$2:$G$5000,MATCH($C63,PL4_TONG_HOP!$A$2:$A$5000,0)),"")</f>
        <v/>
      </c>
      <c r="G63" s="17">
        <f>COUNTIFS(FILE_UPLOADS!$B:$B,$A63,FILE_UPLOADS!$D:$D,$C63)</f>
        <v>0</v>
      </c>
      <c r="H63" s="17" t="str">
        <f t="shared" si="1"/>
        <v/>
      </c>
    </row>
    <row r="64" ht="15.75" customHeight="1">
      <c r="A64" s="17" t="s">
        <v>329</v>
      </c>
      <c r="B64" s="17" t="s">
        <v>6</v>
      </c>
      <c r="C64" s="17" t="s">
        <v>116</v>
      </c>
      <c r="D64" s="17" t="s">
        <v>117</v>
      </c>
      <c r="E64" s="17" t="s">
        <v>118</v>
      </c>
      <c r="F64" s="17" t="str">
        <f t="array" ref="F64">IFERROR(INDEX(PL4_TONG_HOP!$G$2:$G$5000,MATCH($C64,PL4_TONG_HOP!$A$2:$A$5000,0)),"")</f>
        <v/>
      </c>
      <c r="G64" s="17">
        <f>COUNTIFS(FILE_UPLOADS!$B:$B,$A64,FILE_UPLOADS!$D:$D,$C64)</f>
        <v>0</v>
      </c>
      <c r="H64" s="17" t="str">
        <f t="shared" si="1"/>
        <v/>
      </c>
    </row>
    <row r="65" ht="15.75" customHeight="1">
      <c r="A65" s="17" t="s">
        <v>329</v>
      </c>
      <c r="B65" s="17" t="s">
        <v>6</v>
      </c>
      <c r="C65" s="17" t="s">
        <v>119</v>
      </c>
      <c r="D65" s="17" t="s">
        <v>120</v>
      </c>
      <c r="E65" s="17" t="s">
        <v>121</v>
      </c>
      <c r="F65" s="17" t="str">
        <f t="array" ref="F65">IFERROR(INDEX(PL4_TONG_HOP!$G$2:$G$5000,MATCH($C65,PL4_TONG_HOP!$A$2:$A$5000,0)),"")</f>
        <v/>
      </c>
      <c r="G65" s="17">
        <f>COUNTIFS(FILE_UPLOADS!$B:$B,$A65,FILE_UPLOADS!$D:$D,$C65)</f>
        <v>0</v>
      </c>
      <c r="H65" s="17" t="str">
        <f t="shared" si="1"/>
        <v/>
      </c>
    </row>
    <row r="66" ht="15.75" customHeight="1">
      <c r="A66" s="17" t="s">
        <v>329</v>
      </c>
      <c r="B66" s="17" t="s">
        <v>6</v>
      </c>
      <c r="C66" s="17" t="s">
        <v>122</v>
      </c>
      <c r="D66" s="17" t="s">
        <v>123</v>
      </c>
      <c r="E66" s="17" t="s">
        <v>124</v>
      </c>
      <c r="F66" s="17" t="str">
        <f t="array" ref="F66">IFERROR(INDEX(PL4_TONG_HOP!$G$2:$G$5000,MATCH($C66,PL4_TONG_HOP!$A$2:$A$5000,0)),"")</f>
        <v/>
      </c>
      <c r="G66" s="17">
        <f>COUNTIFS(FILE_UPLOADS!$B:$B,$A66,FILE_UPLOADS!$D:$D,$C66)</f>
        <v>0</v>
      </c>
      <c r="H66" s="17" t="str">
        <f t="shared" si="1"/>
        <v/>
      </c>
    </row>
    <row r="67" ht="15.75" customHeight="1">
      <c r="A67" s="17" t="s">
        <v>329</v>
      </c>
      <c r="B67" s="17" t="s">
        <v>6</v>
      </c>
      <c r="C67" s="17" t="s">
        <v>125</v>
      </c>
      <c r="D67" s="17" t="s">
        <v>126</v>
      </c>
      <c r="E67" s="17" t="s">
        <v>127</v>
      </c>
      <c r="F67" s="17" t="str">
        <f t="array" ref="F67">IFERROR(INDEX(PL4_TONG_HOP!$G$2:$G$5000,MATCH($C67,PL4_TONG_HOP!$A$2:$A$5000,0)),"")</f>
        <v/>
      </c>
      <c r="G67" s="17">
        <f>COUNTIFS(FILE_UPLOADS!$B:$B,$A67,FILE_UPLOADS!$D:$D,$C67)</f>
        <v>0</v>
      </c>
      <c r="H67" s="17" t="str">
        <f t="shared" si="1"/>
        <v/>
      </c>
    </row>
    <row r="68" ht="15.75" customHeight="1">
      <c r="A68" s="17" t="s">
        <v>329</v>
      </c>
      <c r="B68" s="17" t="s">
        <v>6</v>
      </c>
      <c r="C68" s="17" t="s">
        <v>128</v>
      </c>
      <c r="D68" s="17" t="s">
        <v>129</v>
      </c>
      <c r="E68" s="17" t="s">
        <v>130</v>
      </c>
      <c r="F68" s="17" t="str">
        <f t="array" ref="F68">IFERROR(INDEX(PL4_TONG_HOP!$G$2:$G$5000,MATCH($C68,PL4_TONG_HOP!$A$2:$A$5000,0)),"")</f>
        <v/>
      </c>
      <c r="G68" s="17">
        <f>COUNTIFS(FILE_UPLOADS!$B:$B,$A68,FILE_UPLOADS!$D:$D,$C68)</f>
        <v>0</v>
      </c>
      <c r="H68" s="17" t="str">
        <f t="shared" si="1"/>
        <v/>
      </c>
    </row>
    <row r="69" ht="15.75" customHeight="1">
      <c r="A69" s="17" t="s">
        <v>329</v>
      </c>
      <c r="B69" s="17" t="s">
        <v>6</v>
      </c>
      <c r="C69" s="17" t="s">
        <v>131</v>
      </c>
      <c r="D69" s="17" t="s">
        <v>132</v>
      </c>
      <c r="E69" s="17" t="s">
        <v>133</v>
      </c>
      <c r="F69" s="17" t="str">
        <f t="array" ref="F69">IFERROR(INDEX(PL4_TONG_HOP!$G$2:$G$5000,MATCH($C69,PL4_TONG_HOP!$A$2:$A$5000,0)),"")</f>
        <v/>
      </c>
      <c r="G69" s="17">
        <f>COUNTIFS(FILE_UPLOADS!$B:$B,$A69,FILE_UPLOADS!$D:$D,$C69)</f>
        <v>0</v>
      </c>
      <c r="H69" s="17" t="str">
        <f t="shared" si="1"/>
        <v/>
      </c>
    </row>
    <row r="70" ht="15.75" customHeight="1">
      <c r="A70" s="17" t="s">
        <v>329</v>
      </c>
      <c r="B70" s="17" t="s">
        <v>6</v>
      </c>
      <c r="C70" s="17" t="s">
        <v>134</v>
      </c>
      <c r="D70" s="17" t="s">
        <v>135</v>
      </c>
      <c r="E70" s="17" t="s">
        <v>136</v>
      </c>
      <c r="F70" s="17" t="str">
        <f t="array" ref="F70">IFERROR(INDEX(PL4_TONG_HOP!$G$2:$G$5000,MATCH($C70,PL4_TONG_HOP!$A$2:$A$5000,0)),"")</f>
        <v/>
      </c>
      <c r="G70" s="17">
        <f>COUNTIFS(FILE_UPLOADS!$B:$B,$A70,FILE_UPLOADS!$D:$D,$C70)</f>
        <v>0</v>
      </c>
      <c r="H70" s="17" t="str">
        <f t="shared" si="1"/>
        <v/>
      </c>
    </row>
    <row r="71" ht="15.75" customHeight="1">
      <c r="A71" s="17" t="s">
        <v>329</v>
      </c>
      <c r="B71" s="17" t="s">
        <v>6</v>
      </c>
      <c r="C71" s="17" t="s">
        <v>140</v>
      </c>
      <c r="D71" s="17" t="s">
        <v>141</v>
      </c>
      <c r="E71" s="17" t="s">
        <v>142</v>
      </c>
      <c r="F71" s="17" t="str">
        <f t="array" ref="F71">IFERROR(INDEX(PL4_TONG_HOP!$G$2:$G$5000,MATCH($C71,PL4_TONG_HOP!$A$2:$A$5000,0)),"")</f>
        <v/>
      </c>
      <c r="G71" s="17">
        <f>COUNTIFS(FILE_UPLOADS!$B:$B,$A71,FILE_UPLOADS!$D:$D,$C71)</f>
        <v>0</v>
      </c>
      <c r="H71" s="17" t="str">
        <f t="shared" si="1"/>
        <v/>
      </c>
    </row>
    <row r="72" ht="15.75" customHeight="1">
      <c r="A72" s="17" t="s">
        <v>329</v>
      </c>
      <c r="B72" s="17" t="s">
        <v>6</v>
      </c>
      <c r="C72" s="17" t="s">
        <v>143</v>
      </c>
      <c r="D72" s="17" t="s">
        <v>144</v>
      </c>
      <c r="E72" s="17" t="s">
        <v>145</v>
      </c>
      <c r="F72" s="17" t="str">
        <f t="array" ref="F72">IFERROR(INDEX(PL4_TONG_HOP!$G$2:$G$5000,MATCH($C72,PL4_TONG_HOP!$A$2:$A$5000,0)),"")</f>
        <v/>
      </c>
      <c r="G72" s="17">
        <f>COUNTIFS(FILE_UPLOADS!$B:$B,$A72,FILE_UPLOADS!$D:$D,$C72)</f>
        <v>0</v>
      </c>
      <c r="H72" s="17" t="str">
        <f t="shared" si="1"/>
        <v/>
      </c>
    </row>
    <row r="73" ht="15.75" customHeight="1">
      <c r="A73" s="17" t="s">
        <v>329</v>
      </c>
      <c r="B73" s="17" t="s">
        <v>6</v>
      </c>
      <c r="C73" s="17" t="s">
        <v>149</v>
      </c>
      <c r="D73" s="17" t="s">
        <v>150</v>
      </c>
      <c r="E73" s="17" t="s">
        <v>151</v>
      </c>
      <c r="F73" s="17" t="str">
        <f t="array" ref="F73">IFERROR(INDEX(PL4_TONG_HOP!$G$2:$G$5000,MATCH($C73,PL4_TONG_HOP!$A$2:$A$5000,0)),"")</f>
        <v/>
      </c>
      <c r="G73" s="17">
        <f>COUNTIFS(FILE_UPLOADS!$B:$B,$A73,FILE_UPLOADS!$D:$D,$C73)</f>
        <v>0</v>
      </c>
      <c r="H73" s="17" t="str">
        <f t="shared" si="1"/>
        <v/>
      </c>
    </row>
    <row r="74" ht="15.75" customHeight="1">
      <c r="A74" s="17" t="s">
        <v>329</v>
      </c>
      <c r="B74" s="17" t="s">
        <v>6</v>
      </c>
      <c r="C74" s="17" t="s">
        <v>152</v>
      </c>
      <c r="D74" s="17" t="s">
        <v>153</v>
      </c>
      <c r="E74" s="17" t="s">
        <v>154</v>
      </c>
      <c r="F74" s="17" t="str">
        <f t="array" ref="F74">IFERROR(INDEX(PL4_TONG_HOP!$G$2:$G$5000,MATCH($C74,PL4_TONG_HOP!$A$2:$A$5000,0)),"")</f>
        <v/>
      </c>
      <c r="G74" s="17">
        <f>COUNTIFS(FILE_UPLOADS!$B:$B,$A74,FILE_UPLOADS!$D:$D,$C74)</f>
        <v>0</v>
      </c>
      <c r="H74" s="17" t="str">
        <f t="shared" si="1"/>
        <v/>
      </c>
    </row>
    <row r="75" ht="15.75" customHeight="1">
      <c r="A75" s="17" t="s">
        <v>329</v>
      </c>
      <c r="B75" s="17" t="s">
        <v>6</v>
      </c>
      <c r="C75" s="17" t="s">
        <v>155</v>
      </c>
      <c r="D75" s="17" t="s">
        <v>156</v>
      </c>
      <c r="E75" s="17" t="s">
        <v>157</v>
      </c>
      <c r="F75" s="17" t="str">
        <f t="array" ref="F75">IFERROR(INDEX(PL4_TONG_HOP!$G$2:$G$5000,MATCH($C75,PL4_TONG_HOP!$A$2:$A$5000,0)),"")</f>
        <v/>
      </c>
      <c r="G75" s="17">
        <f>COUNTIFS(FILE_UPLOADS!$B:$B,$A75,FILE_UPLOADS!$D:$D,$C75)</f>
        <v>0</v>
      </c>
      <c r="H75" s="17" t="str">
        <f t="shared" si="1"/>
        <v/>
      </c>
    </row>
    <row r="76" ht="15.75" customHeight="1">
      <c r="A76" s="17" t="s">
        <v>329</v>
      </c>
      <c r="B76" s="17" t="s">
        <v>6</v>
      </c>
      <c r="C76" s="17" t="s">
        <v>161</v>
      </c>
      <c r="D76" s="17" t="s">
        <v>162</v>
      </c>
      <c r="E76" s="17" t="s">
        <v>163</v>
      </c>
      <c r="F76" s="17" t="str">
        <f t="array" ref="F76">IFERROR(INDEX(PL4_TONG_HOP!$G$2:$G$5000,MATCH($C76,PL4_TONG_HOP!$A$2:$A$5000,0)),"")</f>
        <v/>
      </c>
      <c r="G76" s="17">
        <f>COUNTIFS(FILE_UPLOADS!$B:$B,$A76,FILE_UPLOADS!$D:$D,$C76)</f>
        <v>0</v>
      </c>
      <c r="H76" s="17" t="str">
        <f t="shared" si="1"/>
        <v/>
      </c>
    </row>
    <row r="77" ht="15.75" customHeight="1">
      <c r="A77" s="17" t="s">
        <v>329</v>
      </c>
      <c r="B77" s="17" t="s">
        <v>6</v>
      </c>
      <c r="C77" s="17" t="s">
        <v>164</v>
      </c>
      <c r="D77" s="17" t="s">
        <v>165</v>
      </c>
      <c r="E77" s="17" t="s">
        <v>166</v>
      </c>
      <c r="F77" s="17" t="str">
        <f t="array" ref="F77">IFERROR(INDEX(PL4_TONG_HOP!$G$2:$G$5000,MATCH($C77,PL4_TONG_HOP!$A$2:$A$5000,0)),"")</f>
        <v/>
      </c>
      <c r="G77" s="17">
        <f>COUNTIFS(FILE_UPLOADS!$B:$B,$A77,FILE_UPLOADS!$D:$D,$C77)</f>
        <v>0</v>
      </c>
      <c r="H77" s="17" t="str">
        <f t="shared" si="1"/>
        <v/>
      </c>
    </row>
    <row r="78" ht="15.75" customHeight="1">
      <c r="A78" s="17" t="s">
        <v>329</v>
      </c>
      <c r="B78" s="17" t="s">
        <v>6</v>
      </c>
      <c r="C78" s="17" t="s">
        <v>167</v>
      </c>
      <c r="D78" s="17" t="s">
        <v>168</v>
      </c>
      <c r="E78" s="17" t="s">
        <v>169</v>
      </c>
      <c r="F78" s="17" t="str">
        <f t="array" ref="F78">IFERROR(INDEX(PL4_TONG_HOP!$G$2:$G$5000,MATCH($C78,PL4_TONG_HOP!$A$2:$A$5000,0)),"")</f>
        <v/>
      </c>
      <c r="G78" s="17">
        <f>COUNTIFS(FILE_UPLOADS!$B:$B,$A78,FILE_UPLOADS!$D:$D,$C78)</f>
        <v>0</v>
      </c>
      <c r="H78" s="17" t="str">
        <f t="shared" si="1"/>
        <v/>
      </c>
    </row>
    <row r="79" ht="15.75" customHeight="1">
      <c r="A79" s="17" t="s">
        <v>329</v>
      </c>
      <c r="B79" s="17" t="s">
        <v>6</v>
      </c>
      <c r="C79" s="17" t="s">
        <v>173</v>
      </c>
      <c r="D79" s="17" t="s">
        <v>174</v>
      </c>
      <c r="E79" s="17" t="s">
        <v>175</v>
      </c>
      <c r="F79" s="17" t="str">
        <f t="array" ref="F79">IFERROR(INDEX(PL4_TONG_HOP!$G$2:$G$5000,MATCH($C79,PL4_TONG_HOP!$A$2:$A$5000,0)),"")</f>
        <v/>
      </c>
      <c r="G79" s="17">
        <f>COUNTIFS(FILE_UPLOADS!$B:$B,$A79,FILE_UPLOADS!$D:$D,$C79)</f>
        <v>0</v>
      </c>
      <c r="H79" s="17" t="str">
        <f t="shared" si="1"/>
        <v/>
      </c>
    </row>
    <row r="80" ht="15.75" customHeight="1">
      <c r="A80" s="17" t="s">
        <v>329</v>
      </c>
      <c r="B80" s="17" t="s">
        <v>6</v>
      </c>
      <c r="C80" s="17" t="s">
        <v>176</v>
      </c>
      <c r="D80" s="17" t="s">
        <v>177</v>
      </c>
      <c r="E80" s="17" t="s">
        <v>178</v>
      </c>
      <c r="F80" s="17" t="str">
        <f t="array" ref="F80">IFERROR(INDEX(PL4_TONG_HOP!$G$2:$G$5000,MATCH($C80,PL4_TONG_HOP!$A$2:$A$5000,0)),"")</f>
        <v/>
      </c>
      <c r="G80" s="17">
        <f>COUNTIFS(FILE_UPLOADS!$B:$B,$A80,FILE_UPLOADS!$D:$D,$C80)</f>
        <v>0</v>
      </c>
      <c r="H80" s="17" t="str">
        <f t="shared" si="1"/>
        <v/>
      </c>
    </row>
    <row r="81" ht="15.75" customHeight="1">
      <c r="A81" s="17" t="s">
        <v>329</v>
      </c>
      <c r="B81" s="17" t="s">
        <v>6</v>
      </c>
      <c r="C81" s="17" t="s">
        <v>212</v>
      </c>
      <c r="D81" s="17" t="s">
        <v>213</v>
      </c>
      <c r="E81" s="17" t="s">
        <v>214</v>
      </c>
      <c r="F81" s="17" t="str">
        <f t="array" ref="F81">IFERROR(INDEX(PL4_TONG_HOP!$G$2:$G$5000,MATCH($C81,PL4_TONG_HOP!$A$2:$A$5000,0)),"")</f>
        <v/>
      </c>
      <c r="G81" s="17">
        <f>COUNTIFS(FILE_UPLOADS!$B:$B,$A81,FILE_UPLOADS!$D:$D,$C81)</f>
        <v>0</v>
      </c>
      <c r="H81" s="17" t="str">
        <f t="shared" si="1"/>
        <v/>
      </c>
    </row>
    <row r="82" ht="15.75" customHeight="1">
      <c r="A82" s="17" t="s">
        <v>329</v>
      </c>
      <c r="B82" s="17" t="s">
        <v>6</v>
      </c>
      <c r="C82" s="17" t="s">
        <v>215</v>
      </c>
      <c r="D82" s="17" t="s">
        <v>216</v>
      </c>
      <c r="E82" s="17" t="s">
        <v>217</v>
      </c>
      <c r="F82" s="17" t="str">
        <f t="array" ref="F82">IFERROR(INDEX(PL4_TONG_HOP!$G$2:$G$5000,MATCH($C82,PL4_TONG_HOP!$A$2:$A$5000,0)),"")</f>
        <v/>
      </c>
      <c r="G82" s="17">
        <f>COUNTIFS(FILE_UPLOADS!$B:$B,$A82,FILE_UPLOADS!$D:$D,$C82)</f>
        <v>0</v>
      </c>
      <c r="H82" s="17" t="str">
        <f t="shared" si="1"/>
        <v/>
      </c>
    </row>
    <row r="83" ht="15.75" customHeight="1">
      <c r="A83" s="17" t="s">
        <v>329</v>
      </c>
      <c r="B83" s="17" t="s">
        <v>6</v>
      </c>
      <c r="C83" s="17" t="s">
        <v>227</v>
      </c>
      <c r="D83" s="17" t="s">
        <v>228</v>
      </c>
      <c r="E83" s="17" t="s">
        <v>229</v>
      </c>
      <c r="F83" s="17" t="str">
        <f t="array" ref="F83">IFERROR(INDEX(PL4_TONG_HOP!$G$2:$G$5000,MATCH($C83,PL4_TONG_HOP!$A$2:$A$5000,0)),"")</f>
        <v/>
      </c>
      <c r="G83" s="17">
        <f>COUNTIFS(FILE_UPLOADS!$B:$B,$A83,FILE_UPLOADS!$D:$D,$C83)</f>
        <v>0</v>
      </c>
      <c r="H83" s="17" t="str">
        <f t="shared" si="1"/>
        <v/>
      </c>
    </row>
    <row r="84" ht="15.75" customHeight="1">
      <c r="A84" s="17" t="s">
        <v>329</v>
      </c>
      <c r="B84" s="17" t="s">
        <v>6</v>
      </c>
      <c r="C84" s="17" t="s">
        <v>230</v>
      </c>
      <c r="D84" s="17" t="s">
        <v>231</v>
      </c>
      <c r="E84" s="17" t="s">
        <v>232</v>
      </c>
      <c r="F84" s="17" t="str">
        <f t="array" ref="F84">IFERROR(INDEX(PL4_TONG_HOP!$G$2:$G$5000,MATCH($C84,PL4_TONG_HOP!$A$2:$A$5000,0)),"")</f>
        <v/>
      </c>
      <c r="G84" s="17">
        <f>COUNTIFS(FILE_UPLOADS!$B:$B,$A84,FILE_UPLOADS!$D:$D,$C84)</f>
        <v>0</v>
      </c>
      <c r="H84" s="17" t="str">
        <f t="shared" si="1"/>
        <v/>
      </c>
    </row>
    <row r="85" ht="15.75" customHeight="1">
      <c r="A85" s="17" t="s">
        <v>329</v>
      </c>
      <c r="B85" s="17" t="s">
        <v>6</v>
      </c>
      <c r="C85" s="17" t="s">
        <v>236</v>
      </c>
      <c r="D85" s="17" t="s">
        <v>237</v>
      </c>
      <c r="E85" s="17" t="s">
        <v>238</v>
      </c>
      <c r="F85" s="17" t="str">
        <f t="array" ref="F85">IFERROR(INDEX(PL4_TONG_HOP!$G$2:$G$5000,MATCH($C85,PL4_TONG_HOP!$A$2:$A$5000,0)),"")</f>
        <v/>
      </c>
      <c r="G85" s="17">
        <f>COUNTIFS(FILE_UPLOADS!$B:$B,$A85,FILE_UPLOADS!$D:$D,$C85)</f>
        <v>0</v>
      </c>
      <c r="H85" s="17" t="str">
        <f t="shared" si="1"/>
        <v/>
      </c>
    </row>
    <row r="86" ht="15.75" customHeight="1">
      <c r="A86" s="17" t="s">
        <v>329</v>
      </c>
      <c r="B86" s="17" t="s">
        <v>6</v>
      </c>
      <c r="C86" s="17" t="s">
        <v>239</v>
      </c>
      <c r="D86" s="17" t="s">
        <v>240</v>
      </c>
      <c r="E86" s="17" t="s">
        <v>241</v>
      </c>
      <c r="F86" s="17" t="str">
        <f t="array" ref="F86">IFERROR(INDEX(PL4_TONG_HOP!$G$2:$G$5000,MATCH($C86,PL4_TONG_HOP!$A$2:$A$5000,0)),"")</f>
        <v/>
      </c>
      <c r="G86" s="17">
        <f>COUNTIFS(FILE_UPLOADS!$B:$B,$A86,FILE_UPLOADS!$D:$D,$C86)</f>
        <v>0</v>
      </c>
      <c r="H86" s="17" t="str">
        <f t="shared" si="1"/>
        <v/>
      </c>
    </row>
    <row r="87" ht="15.75" customHeight="1">
      <c r="A87" s="17" t="s">
        <v>329</v>
      </c>
      <c r="B87" s="17" t="s">
        <v>6</v>
      </c>
      <c r="C87" s="17" t="s">
        <v>242</v>
      </c>
      <c r="D87" s="17" t="s">
        <v>243</v>
      </c>
      <c r="E87" s="17" t="s">
        <v>244</v>
      </c>
      <c r="F87" s="17" t="str">
        <f t="array" ref="F87">IFERROR(INDEX(PL4_TONG_HOP!$G$2:$G$5000,MATCH($C87,PL4_TONG_HOP!$A$2:$A$5000,0)),"")</f>
        <v/>
      </c>
      <c r="G87" s="17">
        <f>COUNTIFS(FILE_UPLOADS!$B:$B,$A87,FILE_UPLOADS!$D:$D,$C87)</f>
        <v>0</v>
      </c>
      <c r="H87" s="17" t="str">
        <f t="shared" si="1"/>
        <v/>
      </c>
    </row>
    <row r="88" ht="15.75" customHeight="1">
      <c r="A88" s="17" t="s">
        <v>329</v>
      </c>
      <c r="B88" s="17" t="s">
        <v>6</v>
      </c>
      <c r="C88" s="17" t="s">
        <v>248</v>
      </c>
      <c r="D88" s="17" t="s">
        <v>249</v>
      </c>
      <c r="E88" s="17" t="s">
        <v>250</v>
      </c>
      <c r="F88" s="17" t="str">
        <f t="array" ref="F88">IFERROR(INDEX(PL4_TONG_HOP!$G$2:$G$5000,MATCH($C88,PL4_TONG_HOP!$A$2:$A$5000,0)),"")</f>
        <v/>
      </c>
      <c r="G88" s="17">
        <f>COUNTIFS(FILE_UPLOADS!$B:$B,$A88,FILE_UPLOADS!$D:$D,$C88)</f>
        <v>0</v>
      </c>
      <c r="H88" s="17" t="str">
        <f t="shared" si="1"/>
        <v/>
      </c>
    </row>
    <row r="89" ht="15.75" customHeight="1">
      <c r="A89" s="17" t="s">
        <v>329</v>
      </c>
      <c r="B89" s="17" t="s">
        <v>6</v>
      </c>
      <c r="C89" s="17" t="s">
        <v>251</v>
      </c>
      <c r="D89" s="17" t="s">
        <v>252</v>
      </c>
      <c r="E89" s="17" t="s">
        <v>253</v>
      </c>
      <c r="F89" s="17" t="str">
        <f t="array" ref="F89">IFERROR(INDEX(PL4_TONG_HOP!$G$2:$G$5000,MATCH($C89,PL4_TONG_HOP!$A$2:$A$5000,0)),"")</f>
        <v/>
      </c>
      <c r="G89" s="17">
        <f>COUNTIFS(FILE_UPLOADS!$B:$B,$A89,FILE_UPLOADS!$D:$D,$C89)</f>
        <v>0</v>
      </c>
      <c r="H89" s="17" t="str">
        <f t="shared" si="1"/>
        <v/>
      </c>
    </row>
    <row r="90" ht="15.75" customHeight="1">
      <c r="A90" s="17" t="s">
        <v>329</v>
      </c>
      <c r="B90" s="17" t="s">
        <v>6</v>
      </c>
      <c r="C90" s="17" t="s">
        <v>254</v>
      </c>
      <c r="D90" s="17" t="s">
        <v>255</v>
      </c>
      <c r="E90" s="17" t="s">
        <v>256</v>
      </c>
      <c r="F90" s="17" t="str">
        <f t="array" ref="F90">IFERROR(INDEX(PL4_TONG_HOP!$G$2:$G$5000,MATCH($C90,PL4_TONG_HOP!$A$2:$A$5000,0)),"")</f>
        <v/>
      </c>
      <c r="G90" s="17">
        <f>COUNTIFS(FILE_UPLOADS!$B:$B,$A90,FILE_UPLOADS!$D:$D,$C90)</f>
        <v>0</v>
      </c>
      <c r="H90" s="17" t="str">
        <f t="shared" si="1"/>
        <v/>
      </c>
    </row>
    <row r="91" ht="15.75" customHeight="1">
      <c r="A91" s="17" t="s">
        <v>329</v>
      </c>
      <c r="B91" s="17" t="s">
        <v>6</v>
      </c>
      <c r="C91" s="17" t="s">
        <v>260</v>
      </c>
      <c r="D91" s="17" t="s">
        <v>261</v>
      </c>
      <c r="E91" s="17" t="s">
        <v>262</v>
      </c>
      <c r="F91" s="17" t="str">
        <f t="array" ref="F91">IFERROR(INDEX(PL4_TONG_HOP!$G$2:$G$5000,MATCH($C91,PL4_TONG_HOP!$A$2:$A$5000,0)),"")</f>
        <v/>
      </c>
      <c r="G91" s="17">
        <f>COUNTIFS(FILE_UPLOADS!$B:$B,$A91,FILE_UPLOADS!$D:$D,$C91)</f>
        <v>0</v>
      </c>
      <c r="H91" s="17" t="str">
        <f t="shared" si="1"/>
        <v/>
      </c>
    </row>
    <row r="92" ht="15.75" customHeight="1">
      <c r="A92" s="17" t="s">
        <v>329</v>
      </c>
      <c r="B92" s="17" t="s">
        <v>6</v>
      </c>
      <c r="C92" s="17" t="s">
        <v>263</v>
      </c>
      <c r="D92" s="17" t="s">
        <v>264</v>
      </c>
      <c r="E92" s="17" t="s">
        <v>265</v>
      </c>
      <c r="F92" s="17" t="str">
        <f t="array" ref="F92">IFERROR(INDEX(PL4_TONG_HOP!$G$2:$G$5000,MATCH($C92,PL4_TONG_HOP!$A$2:$A$5000,0)),"")</f>
        <v/>
      </c>
      <c r="G92" s="17">
        <f>COUNTIFS(FILE_UPLOADS!$B:$B,$A92,FILE_UPLOADS!$D:$D,$C92)</f>
        <v>0</v>
      </c>
      <c r="H92" s="17" t="str">
        <f t="shared" si="1"/>
        <v/>
      </c>
    </row>
    <row r="93" ht="15.75" customHeight="1">
      <c r="A93" s="17" t="s">
        <v>329</v>
      </c>
      <c r="B93" s="17" t="s">
        <v>6</v>
      </c>
      <c r="C93" s="17" t="s">
        <v>266</v>
      </c>
      <c r="D93" s="17" t="s">
        <v>267</v>
      </c>
      <c r="E93" s="17" t="s">
        <v>268</v>
      </c>
      <c r="F93" s="17" t="str">
        <f t="array" ref="F93">IFERROR(INDEX(PL4_TONG_HOP!$G$2:$G$5000,MATCH($C93,PL4_TONG_HOP!$A$2:$A$5000,0)),"")</f>
        <v/>
      </c>
      <c r="G93" s="17">
        <f>COUNTIFS(FILE_UPLOADS!$B:$B,$A93,FILE_UPLOADS!$D:$D,$C93)</f>
        <v>0</v>
      </c>
      <c r="H93" s="17" t="str">
        <f t="shared" si="1"/>
        <v/>
      </c>
    </row>
    <row r="94" ht="15.75" customHeight="1">
      <c r="A94" s="17" t="s">
        <v>329</v>
      </c>
      <c r="B94" s="17" t="s">
        <v>6</v>
      </c>
      <c r="C94" s="17" t="s">
        <v>269</v>
      </c>
      <c r="D94" s="17" t="s">
        <v>270</v>
      </c>
      <c r="E94" s="17" t="s">
        <v>271</v>
      </c>
      <c r="F94" s="17" t="str">
        <f t="array" ref="F94">IFERROR(INDEX(PL4_TONG_HOP!$G$2:$G$5000,MATCH($C94,PL4_TONG_HOP!$A$2:$A$5000,0)),"")</f>
        <v/>
      </c>
      <c r="G94" s="17">
        <f>COUNTIFS(FILE_UPLOADS!$B:$B,$A94,FILE_UPLOADS!$D:$D,$C94)</f>
        <v>0</v>
      </c>
      <c r="H94" s="17" t="str">
        <f t="shared" si="1"/>
        <v/>
      </c>
    </row>
    <row r="95" ht="15.75" customHeight="1">
      <c r="A95" s="17" t="s">
        <v>329</v>
      </c>
      <c r="B95" s="17" t="s">
        <v>6</v>
      </c>
      <c r="C95" s="17" t="s">
        <v>272</v>
      </c>
      <c r="D95" s="17" t="s">
        <v>273</v>
      </c>
      <c r="E95" s="17" t="s">
        <v>274</v>
      </c>
      <c r="F95" s="17" t="str">
        <f t="array" ref="F95">IFERROR(INDEX(PL4_TONG_HOP!$G$2:$G$5000,MATCH($C95,PL4_TONG_HOP!$A$2:$A$5000,0)),"")</f>
        <v/>
      </c>
      <c r="G95" s="17">
        <f>COUNTIFS(FILE_UPLOADS!$B:$B,$A95,FILE_UPLOADS!$D:$D,$C95)</f>
        <v>0</v>
      </c>
      <c r="H95" s="17" t="str">
        <f t="shared" si="1"/>
        <v/>
      </c>
    </row>
    <row r="96" ht="15.75" customHeight="1">
      <c r="A96" s="17" t="s">
        <v>329</v>
      </c>
      <c r="B96" s="17" t="s">
        <v>6</v>
      </c>
      <c r="C96" s="17" t="s">
        <v>275</v>
      </c>
      <c r="D96" s="17" t="s">
        <v>276</v>
      </c>
      <c r="E96" s="17" t="s">
        <v>277</v>
      </c>
      <c r="F96" s="17" t="str">
        <f t="array" ref="F96">IFERROR(INDEX(PL4_TONG_HOP!$G$2:$G$5000,MATCH($C96,PL4_TONG_HOP!$A$2:$A$5000,0)),"")</f>
        <v/>
      </c>
      <c r="G96" s="17">
        <f>COUNTIFS(FILE_UPLOADS!$B:$B,$A96,FILE_UPLOADS!$D:$D,$C96)</f>
        <v>0</v>
      </c>
      <c r="H96" s="17" t="str">
        <f t="shared" si="1"/>
        <v/>
      </c>
    </row>
    <row r="97" ht="15.75" customHeight="1">
      <c r="A97" s="17" t="s">
        <v>329</v>
      </c>
      <c r="B97" s="17" t="s">
        <v>6</v>
      </c>
      <c r="C97" s="17" t="s">
        <v>278</v>
      </c>
      <c r="D97" s="17" t="s">
        <v>279</v>
      </c>
      <c r="E97" s="17" t="s">
        <v>280</v>
      </c>
      <c r="F97" s="17" t="str">
        <f t="array" ref="F97">IFERROR(INDEX(PL4_TONG_HOP!$G$2:$G$5000,MATCH($C97,PL4_TONG_HOP!$A$2:$A$5000,0)),"")</f>
        <v/>
      </c>
      <c r="G97" s="17">
        <f>COUNTIFS(FILE_UPLOADS!$B:$B,$A97,FILE_UPLOADS!$D:$D,$C97)</f>
        <v>0</v>
      </c>
      <c r="H97" s="17" t="str">
        <f t="shared" si="1"/>
        <v/>
      </c>
    </row>
    <row r="98" ht="15.75" customHeight="1">
      <c r="A98" s="17" t="s">
        <v>329</v>
      </c>
      <c r="B98" s="17" t="s">
        <v>6</v>
      </c>
      <c r="C98" s="17" t="s">
        <v>281</v>
      </c>
      <c r="D98" s="17" t="s">
        <v>282</v>
      </c>
      <c r="E98" s="17" t="s">
        <v>283</v>
      </c>
      <c r="F98" s="17" t="str">
        <f t="array" ref="F98">IFERROR(INDEX(PL4_TONG_HOP!$G$2:$G$5000,MATCH($C98,PL4_TONG_HOP!$A$2:$A$5000,0)),"")</f>
        <v/>
      </c>
      <c r="G98" s="17">
        <f>COUNTIFS(FILE_UPLOADS!$B:$B,$A98,FILE_UPLOADS!$D:$D,$C98)</f>
        <v>0</v>
      </c>
      <c r="H98" s="17" t="str">
        <f t="shared" si="1"/>
        <v/>
      </c>
    </row>
    <row r="99" ht="15.75" customHeight="1">
      <c r="A99" s="17" t="s">
        <v>329</v>
      </c>
      <c r="B99" s="17" t="s">
        <v>6</v>
      </c>
      <c r="C99" s="17" t="s">
        <v>290</v>
      </c>
      <c r="D99" s="17" t="s">
        <v>291</v>
      </c>
      <c r="E99" s="17" t="s">
        <v>292</v>
      </c>
      <c r="F99" s="17" t="str">
        <f t="array" ref="F99">IFERROR(INDEX(PL4_TONG_HOP!$G$2:$G$5000,MATCH($C99,PL4_TONG_HOP!$A$2:$A$5000,0)),"")</f>
        <v/>
      </c>
      <c r="G99" s="17">
        <f>COUNTIFS(FILE_UPLOADS!$B:$B,$A99,FILE_UPLOADS!$D:$D,$C99)</f>
        <v>0</v>
      </c>
      <c r="H99" s="17" t="str">
        <f t="shared" si="1"/>
        <v/>
      </c>
    </row>
    <row r="100" ht="15.75" customHeight="1">
      <c r="A100" s="17" t="s">
        <v>329</v>
      </c>
      <c r="B100" s="17" t="s">
        <v>6</v>
      </c>
      <c r="C100" s="17" t="s">
        <v>293</v>
      </c>
      <c r="D100" s="17" t="s">
        <v>294</v>
      </c>
      <c r="E100" s="17" t="s">
        <v>295</v>
      </c>
      <c r="F100" s="17" t="str">
        <f t="array" ref="F100">IFERROR(INDEX(PL4_TONG_HOP!$G$2:$G$5000,MATCH($C100,PL4_TONG_HOP!$A$2:$A$5000,0)),"")</f>
        <v/>
      </c>
      <c r="G100" s="17">
        <f>COUNTIFS(FILE_UPLOADS!$B:$B,$A100,FILE_UPLOADS!$D:$D,$C100)</f>
        <v>0</v>
      </c>
      <c r="H100" s="17" t="str">
        <f t="shared" si="1"/>
        <v/>
      </c>
    </row>
    <row r="101" ht="15.75" customHeight="1">
      <c r="A101" s="17" t="s">
        <v>329</v>
      </c>
      <c r="B101" s="17" t="s">
        <v>6</v>
      </c>
      <c r="C101" s="17" t="s">
        <v>299</v>
      </c>
      <c r="D101" s="17" t="s">
        <v>300</v>
      </c>
      <c r="E101" s="17" t="s">
        <v>301</v>
      </c>
      <c r="F101" s="17" t="str">
        <f t="array" ref="F101">IFERROR(INDEX(PL4_TONG_HOP!$G$2:$G$5000,MATCH($C101,PL4_TONG_HOP!$A$2:$A$5000,0)),"")</f>
        <v/>
      </c>
      <c r="G101" s="17">
        <f>COUNTIFS(FILE_UPLOADS!$B:$B,$A101,FILE_UPLOADS!$D:$D,$C101)</f>
        <v>0</v>
      </c>
      <c r="H101" s="17" t="str">
        <f t="shared" si="1"/>
        <v/>
      </c>
    </row>
    <row r="102" ht="15.75" customHeight="1">
      <c r="A102" s="17" t="s">
        <v>329</v>
      </c>
      <c r="B102" s="17" t="s">
        <v>6</v>
      </c>
      <c r="C102" s="17" t="s">
        <v>302</v>
      </c>
      <c r="D102" s="17" t="s">
        <v>303</v>
      </c>
      <c r="E102" s="17" t="s">
        <v>304</v>
      </c>
      <c r="F102" s="17" t="str">
        <f t="array" ref="F102">IFERROR(INDEX(PL4_TONG_HOP!$G$2:$G$5000,MATCH($C102,PL4_TONG_HOP!$A$2:$A$5000,0)),"")</f>
        <v/>
      </c>
      <c r="G102" s="17">
        <f>COUNTIFS(FILE_UPLOADS!$B:$B,$A102,FILE_UPLOADS!$D:$D,$C102)</f>
        <v>0</v>
      </c>
      <c r="H102" s="17" t="str">
        <f t="shared" si="1"/>
        <v/>
      </c>
    </row>
    <row r="103" ht="15.75" customHeight="1">
      <c r="A103" s="17" t="s">
        <v>329</v>
      </c>
      <c r="B103" s="17" t="s">
        <v>6</v>
      </c>
      <c r="C103" s="17" t="s">
        <v>308</v>
      </c>
      <c r="D103" s="17" t="s">
        <v>309</v>
      </c>
      <c r="E103" s="17" t="s">
        <v>310</v>
      </c>
      <c r="F103" s="17" t="str">
        <f t="array" ref="F103">IFERROR(INDEX(PL4_TONG_HOP!$G$2:$G$5000,MATCH($C103,PL4_TONG_HOP!$A$2:$A$5000,0)),"")</f>
        <v/>
      </c>
      <c r="G103" s="17">
        <f>COUNTIFS(FILE_UPLOADS!$B:$B,$A103,FILE_UPLOADS!$D:$D,$C103)</f>
        <v>0</v>
      </c>
      <c r="H103" s="17" t="str">
        <f t="shared" si="1"/>
        <v/>
      </c>
    </row>
    <row r="104" ht="15.75" customHeight="1">
      <c r="A104" s="17" t="s">
        <v>329</v>
      </c>
      <c r="B104" s="17" t="s">
        <v>6</v>
      </c>
      <c r="C104" s="17" t="s">
        <v>311</v>
      </c>
      <c r="D104" s="17" t="s">
        <v>312</v>
      </c>
      <c r="E104" s="17" t="s">
        <v>313</v>
      </c>
      <c r="F104" s="17" t="str">
        <f t="array" ref="F104">IFERROR(INDEX(PL4_TONG_HOP!$G$2:$G$5000,MATCH($C104,PL4_TONG_HOP!$A$2:$A$5000,0)),"")</f>
        <v/>
      </c>
      <c r="G104" s="17">
        <f>COUNTIFS(FILE_UPLOADS!$B:$B,$A104,FILE_UPLOADS!$D:$D,$C104)</f>
        <v>0</v>
      </c>
      <c r="H104" s="17" t="str">
        <f t="shared" si="1"/>
        <v/>
      </c>
    </row>
    <row r="105" ht="15.75" customHeight="1">
      <c r="A105" s="17" t="s">
        <v>329</v>
      </c>
      <c r="B105" s="17" t="s">
        <v>6</v>
      </c>
      <c r="C105" s="17" t="s">
        <v>314</v>
      </c>
      <c r="D105" s="17" t="s">
        <v>315</v>
      </c>
      <c r="E105" s="17" t="s">
        <v>316</v>
      </c>
      <c r="F105" s="17" t="str">
        <f t="array" ref="F105">IFERROR(INDEX(PL4_TONG_HOP!$G$2:$G$5000,MATCH($C105,PL4_TONG_HOP!$A$2:$A$5000,0)),"")</f>
        <v/>
      </c>
      <c r="G105" s="17">
        <f>COUNTIFS(FILE_UPLOADS!$B:$B,$A105,FILE_UPLOADS!$D:$D,$C105)</f>
        <v>0</v>
      </c>
      <c r="H105" s="17" t="str">
        <f t="shared" si="1"/>
        <v/>
      </c>
    </row>
    <row r="106" ht="15.75" customHeight="1">
      <c r="A106" s="17" t="s">
        <v>330</v>
      </c>
      <c r="B106" s="17" t="s">
        <v>7</v>
      </c>
      <c r="C106" s="17" t="s">
        <v>46</v>
      </c>
      <c r="D106" s="17" t="s">
        <v>47</v>
      </c>
      <c r="E106" s="17" t="s">
        <v>48</v>
      </c>
      <c r="F106" s="17" t="str">
        <f t="array" ref="F106">IFERROR(INDEX(PL4_TONG_HOP!$H$2:$H$5000,MATCH($C106,PL4_TONG_HOP!$A$2:$A$5000,0)),"")</f>
        <v/>
      </c>
      <c r="G106" s="17">
        <f>COUNTIFS(FILE_UPLOADS!$B:$B,$A106,FILE_UPLOADS!$D:$D,$C106)</f>
        <v>0</v>
      </c>
      <c r="H106" s="17" t="str">
        <f t="shared" si="1"/>
        <v/>
      </c>
    </row>
    <row r="107" ht="15.75" customHeight="1">
      <c r="A107" s="17" t="s">
        <v>330</v>
      </c>
      <c r="B107" s="17" t="s">
        <v>7</v>
      </c>
      <c r="C107" s="17" t="s">
        <v>78</v>
      </c>
      <c r="D107" s="17" t="s">
        <v>79</v>
      </c>
      <c r="E107" s="17" t="s">
        <v>80</v>
      </c>
      <c r="F107" s="17" t="str">
        <f t="array" ref="F107">IFERROR(INDEX(PL4_TONG_HOP!$H$2:$H$5000,MATCH($C107,PL4_TONG_HOP!$A$2:$A$5000,0)),"")</f>
        <v/>
      </c>
      <c r="G107" s="17">
        <f>COUNTIFS(FILE_UPLOADS!$B:$B,$A107,FILE_UPLOADS!$D:$D,$C107)</f>
        <v>0</v>
      </c>
      <c r="H107" s="17" t="str">
        <f t="shared" si="1"/>
        <v/>
      </c>
    </row>
    <row r="108" ht="15.75" customHeight="1">
      <c r="A108" s="17" t="s">
        <v>330</v>
      </c>
      <c r="B108" s="17" t="s">
        <v>7</v>
      </c>
      <c r="C108" s="17" t="s">
        <v>81</v>
      </c>
      <c r="D108" s="17" t="s">
        <v>82</v>
      </c>
      <c r="E108" s="17" t="s">
        <v>83</v>
      </c>
      <c r="F108" s="17" t="str">
        <f t="array" ref="F108">IFERROR(INDEX(PL4_TONG_HOP!$H$2:$H$5000,MATCH($C108,PL4_TONG_HOP!$A$2:$A$5000,0)),"")</f>
        <v/>
      </c>
      <c r="G108" s="17">
        <f>COUNTIFS(FILE_UPLOADS!$B:$B,$A108,FILE_UPLOADS!$D:$D,$C108)</f>
        <v>0</v>
      </c>
      <c r="H108" s="17" t="str">
        <f t="shared" si="1"/>
        <v/>
      </c>
    </row>
    <row r="109" ht="15.75" customHeight="1">
      <c r="A109" s="17" t="s">
        <v>330</v>
      </c>
      <c r="B109" s="17" t="s">
        <v>7</v>
      </c>
      <c r="C109" s="17" t="s">
        <v>87</v>
      </c>
      <c r="D109" s="17" t="s">
        <v>88</v>
      </c>
      <c r="E109" s="17" t="s">
        <v>89</v>
      </c>
      <c r="F109" s="17" t="str">
        <f t="array" ref="F109">IFERROR(INDEX(PL4_TONG_HOP!$H$2:$H$5000,MATCH($C109,PL4_TONG_HOP!$A$2:$A$5000,0)),"")</f>
        <v/>
      </c>
      <c r="G109" s="17">
        <f>COUNTIFS(FILE_UPLOADS!$B:$B,$A109,FILE_UPLOADS!$D:$D,$C109)</f>
        <v>0</v>
      </c>
      <c r="H109" s="17" t="str">
        <f t="shared" si="1"/>
        <v/>
      </c>
    </row>
    <row r="110" ht="15.75" customHeight="1">
      <c r="A110" s="17" t="s">
        <v>330</v>
      </c>
      <c r="B110" s="17" t="s">
        <v>7</v>
      </c>
      <c r="C110" s="17" t="s">
        <v>90</v>
      </c>
      <c r="D110" s="17" t="s">
        <v>91</v>
      </c>
      <c r="E110" s="17" t="s">
        <v>92</v>
      </c>
      <c r="F110" s="17" t="str">
        <f t="array" ref="F110">IFERROR(INDEX(PL4_TONG_HOP!$H$2:$H$5000,MATCH($C110,PL4_TONG_HOP!$A$2:$A$5000,0)),"")</f>
        <v/>
      </c>
      <c r="G110" s="17">
        <f>COUNTIFS(FILE_UPLOADS!$B:$B,$A110,FILE_UPLOADS!$D:$D,$C110)</f>
        <v>0</v>
      </c>
      <c r="H110" s="17" t="str">
        <f t="shared" si="1"/>
        <v/>
      </c>
    </row>
    <row r="111" ht="15.75" customHeight="1">
      <c r="A111" s="17" t="s">
        <v>330</v>
      </c>
      <c r="B111" s="17" t="s">
        <v>7</v>
      </c>
      <c r="C111" s="17" t="s">
        <v>93</v>
      </c>
      <c r="D111" s="17" t="s">
        <v>85</v>
      </c>
      <c r="E111" s="17" t="s">
        <v>94</v>
      </c>
      <c r="F111" s="17" t="str">
        <f t="array" ref="F111">IFERROR(INDEX(PL4_TONG_HOP!$H$2:$H$5000,MATCH($C111,PL4_TONG_HOP!$A$2:$A$5000,0)),"")</f>
        <v/>
      </c>
      <c r="G111" s="17">
        <f>COUNTIFS(FILE_UPLOADS!$B:$B,$A111,FILE_UPLOADS!$D:$D,$C111)</f>
        <v>0</v>
      </c>
      <c r="H111" s="17" t="str">
        <f t="shared" si="1"/>
        <v/>
      </c>
    </row>
    <row r="112" ht="15.75" customHeight="1">
      <c r="A112" s="17" t="s">
        <v>330</v>
      </c>
      <c r="B112" s="17" t="s">
        <v>7</v>
      </c>
      <c r="C112" s="17" t="s">
        <v>95</v>
      </c>
      <c r="D112" s="17" t="s">
        <v>96</v>
      </c>
      <c r="E112" s="17" t="s">
        <v>97</v>
      </c>
      <c r="F112" s="17" t="str">
        <f t="array" ref="F112">IFERROR(INDEX(PL4_TONG_HOP!$H$2:$H$5000,MATCH($C112,PL4_TONG_HOP!$A$2:$A$5000,0)),"")</f>
        <v/>
      </c>
      <c r="G112" s="17">
        <f>COUNTIFS(FILE_UPLOADS!$B:$B,$A112,FILE_UPLOADS!$D:$D,$C112)</f>
        <v>0</v>
      </c>
      <c r="H112" s="17" t="str">
        <f t="shared" si="1"/>
        <v/>
      </c>
    </row>
    <row r="113" ht="15.75" customHeight="1">
      <c r="A113" s="17" t="s">
        <v>330</v>
      </c>
      <c r="B113" s="17" t="s">
        <v>7</v>
      </c>
      <c r="C113" s="17" t="s">
        <v>98</v>
      </c>
      <c r="D113" s="17" t="s">
        <v>99</v>
      </c>
      <c r="E113" s="17" t="s">
        <v>100</v>
      </c>
      <c r="F113" s="17" t="str">
        <f t="array" ref="F113">IFERROR(INDEX(PL4_TONG_HOP!$H$2:$H$5000,MATCH($C113,PL4_TONG_HOP!$A$2:$A$5000,0)),"")</f>
        <v/>
      </c>
      <c r="G113" s="17">
        <f>COUNTIFS(FILE_UPLOADS!$B:$B,$A113,FILE_UPLOADS!$D:$D,$C113)</f>
        <v>0</v>
      </c>
      <c r="H113" s="17" t="str">
        <f t="shared" si="1"/>
        <v/>
      </c>
    </row>
    <row r="114" ht="15.75" customHeight="1">
      <c r="A114" s="17" t="s">
        <v>330</v>
      </c>
      <c r="B114" s="17" t="s">
        <v>7</v>
      </c>
      <c r="C114" s="17" t="s">
        <v>101</v>
      </c>
      <c r="D114" s="17" t="s">
        <v>102</v>
      </c>
      <c r="E114" s="17" t="s">
        <v>103</v>
      </c>
      <c r="F114" s="17" t="str">
        <f t="array" ref="F114">IFERROR(INDEX(PL4_TONG_HOP!$H$2:$H$5000,MATCH($C114,PL4_TONG_HOP!$A$2:$A$5000,0)),"")</f>
        <v/>
      </c>
      <c r="G114" s="17">
        <f>COUNTIFS(FILE_UPLOADS!$B:$B,$A114,FILE_UPLOADS!$D:$D,$C114)</f>
        <v>0</v>
      </c>
      <c r="H114" s="17" t="str">
        <f t="shared" si="1"/>
        <v/>
      </c>
    </row>
    <row r="115" ht="15.75" customHeight="1">
      <c r="A115" s="17" t="s">
        <v>330</v>
      </c>
      <c r="B115" s="17" t="s">
        <v>7</v>
      </c>
      <c r="C115" s="17" t="s">
        <v>113</v>
      </c>
      <c r="D115" s="17" t="s">
        <v>114</v>
      </c>
      <c r="E115" s="17" t="s">
        <v>115</v>
      </c>
      <c r="F115" s="17" t="str">
        <f t="array" ref="F115">IFERROR(INDEX(PL4_TONG_HOP!$H$2:$H$5000,MATCH($C115,PL4_TONG_HOP!$A$2:$A$5000,0)),"")</f>
        <v/>
      </c>
      <c r="G115" s="17">
        <f>COUNTIFS(FILE_UPLOADS!$B:$B,$A115,FILE_UPLOADS!$D:$D,$C115)</f>
        <v>0</v>
      </c>
      <c r="H115" s="17" t="str">
        <f t="shared" si="1"/>
        <v/>
      </c>
    </row>
    <row r="116" ht="15.75" customHeight="1">
      <c r="A116" s="17" t="s">
        <v>330</v>
      </c>
      <c r="B116" s="17" t="s">
        <v>7</v>
      </c>
      <c r="C116" s="17" t="s">
        <v>116</v>
      </c>
      <c r="D116" s="17" t="s">
        <v>117</v>
      </c>
      <c r="E116" s="17" t="s">
        <v>118</v>
      </c>
      <c r="F116" s="17" t="str">
        <f t="array" ref="F116">IFERROR(INDEX(PL4_TONG_HOP!$H$2:$H$5000,MATCH($C116,PL4_TONG_HOP!$A$2:$A$5000,0)),"")</f>
        <v/>
      </c>
      <c r="G116" s="17">
        <f>COUNTIFS(FILE_UPLOADS!$B:$B,$A116,FILE_UPLOADS!$D:$D,$C116)</f>
        <v>0</v>
      </c>
      <c r="H116" s="17" t="str">
        <f t="shared" si="1"/>
        <v/>
      </c>
    </row>
    <row r="117" ht="15.75" customHeight="1">
      <c r="A117" s="17" t="s">
        <v>330</v>
      </c>
      <c r="B117" s="17" t="s">
        <v>7</v>
      </c>
      <c r="C117" s="17" t="s">
        <v>119</v>
      </c>
      <c r="D117" s="17" t="s">
        <v>120</v>
      </c>
      <c r="E117" s="17" t="s">
        <v>121</v>
      </c>
      <c r="F117" s="17" t="str">
        <f t="array" ref="F117">IFERROR(INDEX(PL4_TONG_HOP!$H$2:$H$5000,MATCH($C117,PL4_TONG_HOP!$A$2:$A$5000,0)),"")</f>
        <v/>
      </c>
      <c r="G117" s="17">
        <f>COUNTIFS(FILE_UPLOADS!$B:$B,$A117,FILE_UPLOADS!$D:$D,$C117)</f>
        <v>0</v>
      </c>
      <c r="H117" s="17" t="str">
        <f t="shared" si="1"/>
        <v/>
      </c>
    </row>
    <row r="118" ht="15.75" customHeight="1">
      <c r="A118" s="17" t="s">
        <v>330</v>
      </c>
      <c r="B118" s="17" t="s">
        <v>7</v>
      </c>
      <c r="C118" s="17" t="s">
        <v>122</v>
      </c>
      <c r="D118" s="17" t="s">
        <v>123</v>
      </c>
      <c r="E118" s="17" t="s">
        <v>124</v>
      </c>
      <c r="F118" s="17" t="str">
        <f t="array" ref="F118">IFERROR(INDEX(PL4_TONG_HOP!$H$2:$H$5000,MATCH($C118,PL4_TONG_HOP!$A$2:$A$5000,0)),"")</f>
        <v/>
      </c>
      <c r="G118" s="17">
        <f>COUNTIFS(FILE_UPLOADS!$B:$B,$A118,FILE_UPLOADS!$D:$D,$C118)</f>
        <v>0</v>
      </c>
      <c r="H118" s="17" t="str">
        <f t="shared" si="1"/>
        <v/>
      </c>
    </row>
    <row r="119" ht="15.75" customHeight="1">
      <c r="A119" s="17" t="s">
        <v>330</v>
      </c>
      <c r="B119" s="17" t="s">
        <v>7</v>
      </c>
      <c r="C119" s="17" t="s">
        <v>125</v>
      </c>
      <c r="D119" s="17" t="s">
        <v>126</v>
      </c>
      <c r="E119" s="17" t="s">
        <v>127</v>
      </c>
      <c r="F119" s="17" t="str">
        <f t="array" ref="F119">IFERROR(INDEX(PL4_TONG_HOP!$H$2:$H$5000,MATCH($C119,PL4_TONG_HOP!$A$2:$A$5000,0)),"")</f>
        <v/>
      </c>
      <c r="G119" s="17">
        <f>COUNTIFS(FILE_UPLOADS!$B:$B,$A119,FILE_UPLOADS!$D:$D,$C119)</f>
        <v>0</v>
      </c>
      <c r="H119" s="17" t="str">
        <f t="shared" si="1"/>
        <v/>
      </c>
    </row>
    <row r="120" ht="15.75" customHeight="1">
      <c r="A120" s="17" t="s">
        <v>330</v>
      </c>
      <c r="B120" s="17" t="s">
        <v>7</v>
      </c>
      <c r="C120" s="17" t="s">
        <v>128</v>
      </c>
      <c r="D120" s="17" t="s">
        <v>129</v>
      </c>
      <c r="E120" s="17" t="s">
        <v>130</v>
      </c>
      <c r="F120" s="17" t="str">
        <f t="array" ref="F120">IFERROR(INDEX(PL4_TONG_HOP!$H$2:$H$5000,MATCH($C120,PL4_TONG_HOP!$A$2:$A$5000,0)),"")</f>
        <v/>
      </c>
      <c r="G120" s="17">
        <f>COUNTIFS(FILE_UPLOADS!$B:$B,$A120,FILE_UPLOADS!$D:$D,$C120)</f>
        <v>0</v>
      </c>
      <c r="H120" s="17" t="str">
        <f t="shared" si="1"/>
        <v/>
      </c>
    </row>
    <row r="121" ht="15.75" customHeight="1">
      <c r="A121" s="17" t="s">
        <v>330</v>
      </c>
      <c r="B121" s="17" t="s">
        <v>7</v>
      </c>
      <c r="C121" s="17" t="s">
        <v>131</v>
      </c>
      <c r="D121" s="17" t="s">
        <v>132</v>
      </c>
      <c r="E121" s="17" t="s">
        <v>133</v>
      </c>
      <c r="F121" s="17" t="str">
        <f t="array" ref="F121">IFERROR(INDEX(PL4_TONG_HOP!$H$2:$H$5000,MATCH($C121,PL4_TONG_HOP!$A$2:$A$5000,0)),"")</f>
        <v/>
      </c>
      <c r="G121" s="17">
        <f>COUNTIFS(FILE_UPLOADS!$B:$B,$A121,FILE_UPLOADS!$D:$D,$C121)</f>
        <v>0</v>
      </c>
      <c r="H121" s="17" t="str">
        <f t="shared" si="1"/>
        <v/>
      </c>
    </row>
    <row r="122" ht="15.75" customHeight="1">
      <c r="A122" s="17" t="s">
        <v>330</v>
      </c>
      <c r="B122" s="17" t="s">
        <v>7</v>
      </c>
      <c r="C122" s="17" t="s">
        <v>134</v>
      </c>
      <c r="D122" s="17" t="s">
        <v>135</v>
      </c>
      <c r="E122" s="17" t="s">
        <v>136</v>
      </c>
      <c r="F122" s="17" t="str">
        <f t="array" ref="F122">IFERROR(INDEX(PL4_TONG_HOP!$H$2:$H$5000,MATCH($C122,PL4_TONG_HOP!$A$2:$A$5000,0)),"")</f>
        <v/>
      </c>
      <c r="G122" s="17">
        <f>COUNTIFS(FILE_UPLOADS!$B:$B,$A122,FILE_UPLOADS!$D:$D,$C122)</f>
        <v>0</v>
      </c>
      <c r="H122" s="17" t="str">
        <f t="shared" si="1"/>
        <v/>
      </c>
    </row>
    <row r="123" ht="15.75" customHeight="1">
      <c r="A123" s="17" t="s">
        <v>330</v>
      </c>
      <c r="B123" s="17" t="s">
        <v>7</v>
      </c>
      <c r="C123" s="17" t="s">
        <v>140</v>
      </c>
      <c r="D123" s="17" t="s">
        <v>141</v>
      </c>
      <c r="E123" s="17" t="s">
        <v>142</v>
      </c>
      <c r="F123" s="17" t="str">
        <f t="array" ref="F123">IFERROR(INDEX(PL4_TONG_HOP!$H$2:$H$5000,MATCH($C123,PL4_TONG_HOP!$A$2:$A$5000,0)),"")</f>
        <v/>
      </c>
      <c r="G123" s="17">
        <f>COUNTIFS(FILE_UPLOADS!$B:$B,$A123,FILE_UPLOADS!$D:$D,$C123)</f>
        <v>0</v>
      </c>
      <c r="H123" s="17" t="str">
        <f t="shared" si="1"/>
        <v/>
      </c>
    </row>
    <row r="124" ht="15.75" customHeight="1">
      <c r="A124" s="17" t="s">
        <v>330</v>
      </c>
      <c r="B124" s="17" t="s">
        <v>7</v>
      </c>
      <c r="C124" s="17" t="s">
        <v>143</v>
      </c>
      <c r="D124" s="17" t="s">
        <v>144</v>
      </c>
      <c r="E124" s="17" t="s">
        <v>145</v>
      </c>
      <c r="F124" s="17" t="str">
        <f t="array" ref="F124">IFERROR(INDEX(PL4_TONG_HOP!$H$2:$H$5000,MATCH($C124,PL4_TONG_HOP!$A$2:$A$5000,0)),"")</f>
        <v/>
      </c>
      <c r="G124" s="17">
        <f>COUNTIFS(FILE_UPLOADS!$B:$B,$A124,FILE_UPLOADS!$D:$D,$C124)</f>
        <v>0</v>
      </c>
      <c r="H124" s="17" t="str">
        <f t="shared" si="1"/>
        <v/>
      </c>
    </row>
    <row r="125" ht="15.75" customHeight="1">
      <c r="A125" s="17" t="s">
        <v>330</v>
      </c>
      <c r="B125" s="17" t="s">
        <v>7</v>
      </c>
      <c r="C125" s="17" t="s">
        <v>149</v>
      </c>
      <c r="D125" s="17" t="s">
        <v>150</v>
      </c>
      <c r="E125" s="17" t="s">
        <v>151</v>
      </c>
      <c r="F125" s="17" t="str">
        <f t="array" ref="F125">IFERROR(INDEX(PL4_TONG_HOP!$H$2:$H$5000,MATCH($C125,PL4_TONG_HOP!$A$2:$A$5000,0)),"")</f>
        <v/>
      </c>
      <c r="G125" s="17">
        <f>COUNTIFS(FILE_UPLOADS!$B:$B,$A125,FILE_UPLOADS!$D:$D,$C125)</f>
        <v>0</v>
      </c>
      <c r="H125" s="17" t="str">
        <f t="shared" si="1"/>
        <v/>
      </c>
    </row>
    <row r="126" ht="15.75" customHeight="1">
      <c r="A126" s="17" t="s">
        <v>330</v>
      </c>
      <c r="B126" s="17" t="s">
        <v>7</v>
      </c>
      <c r="C126" s="17" t="s">
        <v>152</v>
      </c>
      <c r="D126" s="17" t="s">
        <v>153</v>
      </c>
      <c r="E126" s="17" t="s">
        <v>154</v>
      </c>
      <c r="F126" s="17" t="str">
        <f t="array" ref="F126">IFERROR(INDEX(PL4_TONG_HOP!$H$2:$H$5000,MATCH($C126,PL4_TONG_HOP!$A$2:$A$5000,0)),"")</f>
        <v/>
      </c>
      <c r="G126" s="17">
        <f>COUNTIFS(FILE_UPLOADS!$B:$B,$A126,FILE_UPLOADS!$D:$D,$C126)</f>
        <v>0</v>
      </c>
      <c r="H126" s="17" t="str">
        <f t="shared" si="1"/>
        <v/>
      </c>
    </row>
    <row r="127" ht="15.75" customHeight="1">
      <c r="A127" s="17" t="s">
        <v>330</v>
      </c>
      <c r="B127" s="17" t="s">
        <v>7</v>
      </c>
      <c r="C127" s="17" t="s">
        <v>155</v>
      </c>
      <c r="D127" s="17" t="s">
        <v>156</v>
      </c>
      <c r="E127" s="17" t="s">
        <v>157</v>
      </c>
      <c r="F127" s="17" t="str">
        <f t="array" ref="F127">IFERROR(INDEX(PL4_TONG_HOP!$H$2:$H$5000,MATCH($C127,PL4_TONG_HOP!$A$2:$A$5000,0)),"")</f>
        <v/>
      </c>
      <c r="G127" s="17">
        <f>COUNTIFS(FILE_UPLOADS!$B:$B,$A127,FILE_UPLOADS!$D:$D,$C127)</f>
        <v>0</v>
      </c>
      <c r="H127" s="17" t="str">
        <f t="shared" si="1"/>
        <v/>
      </c>
    </row>
    <row r="128" ht="15.75" customHeight="1">
      <c r="A128" s="17" t="s">
        <v>330</v>
      </c>
      <c r="B128" s="17" t="s">
        <v>7</v>
      </c>
      <c r="C128" s="17" t="s">
        <v>161</v>
      </c>
      <c r="D128" s="17" t="s">
        <v>162</v>
      </c>
      <c r="E128" s="17" t="s">
        <v>163</v>
      </c>
      <c r="F128" s="17" t="str">
        <f t="array" ref="F128">IFERROR(INDEX(PL4_TONG_HOP!$H$2:$H$5000,MATCH($C128,PL4_TONG_HOP!$A$2:$A$5000,0)),"")</f>
        <v/>
      </c>
      <c r="G128" s="17">
        <f>COUNTIFS(FILE_UPLOADS!$B:$B,$A128,FILE_UPLOADS!$D:$D,$C128)</f>
        <v>0</v>
      </c>
      <c r="H128" s="17" t="str">
        <f t="shared" si="1"/>
        <v/>
      </c>
    </row>
    <row r="129" ht="15.75" customHeight="1">
      <c r="A129" s="17" t="s">
        <v>330</v>
      </c>
      <c r="B129" s="17" t="s">
        <v>7</v>
      </c>
      <c r="C129" s="17" t="s">
        <v>164</v>
      </c>
      <c r="D129" s="17" t="s">
        <v>165</v>
      </c>
      <c r="E129" s="17" t="s">
        <v>166</v>
      </c>
      <c r="F129" s="17" t="str">
        <f t="array" ref="F129">IFERROR(INDEX(PL4_TONG_HOP!$H$2:$H$5000,MATCH($C129,PL4_TONG_HOP!$A$2:$A$5000,0)),"")</f>
        <v/>
      </c>
      <c r="G129" s="17">
        <f>COUNTIFS(FILE_UPLOADS!$B:$B,$A129,FILE_UPLOADS!$D:$D,$C129)</f>
        <v>0</v>
      </c>
      <c r="H129" s="17" t="str">
        <f t="shared" si="1"/>
        <v/>
      </c>
    </row>
    <row r="130" ht="15.75" customHeight="1">
      <c r="A130" s="17" t="s">
        <v>330</v>
      </c>
      <c r="B130" s="17" t="s">
        <v>7</v>
      </c>
      <c r="C130" s="17" t="s">
        <v>167</v>
      </c>
      <c r="D130" s="17" t="s">
        <v>168</v>
      </c>
      <c r="E130" s="17" t="s">
        <v>169</v>
      </c>
      <c r="F130" s="17" t="str">
        <f t="array" ref="F130">IFERROR(INDEX(PL4_TONG_HOP!$H$2:$H$5000,MATCH($C130,PL4_TONG_HOP!$A$2:$A$5000,0)),"")</f>
        <v/>
      </c>
      <c r="G130" s="17">
        <f>COUNTIFS(FILE_UPLOADS!$B:$B,$A130,FILE_UPLOADS!$D:$D,$C130)</f>
        <v>0</v>
      </c>
      <c r="H130" s="17" t="str">
        <f t="shared" si="1"/>
        <v/>
      </c>
    </row>
    <row r="131" ht="15.75" customHeight="1">
      <c r="A131" s="17" t="s">
        <v>330</v>
      </c>
      <c r="B131" s="17" t="s">
        <v>7</v>
      </c>
      <c r="C131" s="17" t="s">
        <v>173</v>
      </c>
      <c r="D131" s="17" t="s">
        <v>174</v>
      </c>
      <c r="E131" s="17" t="s">
        <v>175</v>
      </c>
      <c r="F131" s="17" t="str">
        <f t="array" ref="F131">IFERROR(INDEX(PL4_TONG_HOP!$H$2:$H$5000,MATCH($C131,PL4_TONG_HOP!$A$2:$A$5000,0)),"")</f>
        <v/>
      </c>
      <c r="G131" s="17">
        <f>COUNTIFS(FILE_UPLOADS!$B:$B,$A131,FILE_UPLOADS!$D:$D,$C131)</f>
        <v>0</v>
      </c>
      <c r="H131" s="17" t="str">
        <f t="shared" si="1"/>
        <v/>
      </c>
    </row>
    <row r="132" ht="15.75" customHeight="1">
      <c r="A132" s="17" t="s">
        <v>330</v>
      </c>
      <c r="B132" s="17" t="s">
        <v>7</v>
      </c>
      <c r="C132" s="17" t="s">
        <v>176</v>
      </c>
      <c r="D132" s="17" t="s">
        <v>177</v>
      </c>
      <c r="E132" s="17" t="s">
        <v>178</v>
      </c>
      <c r="F132" s="17" t="str">
        <f t="array" ref="F132">IFERROR(INDEX(PL4_TONG_HOP!$H$2:$H$5000,MATCH($C132,PL4_TONG_HOP!$A$2:$A$5000,0)),"")</f>
        <v/>
      </c>
      <c r="G132" s="17">
        <f>COUNTIFS(FILE_UPLOADS!$B:$B,$A132,FILE_UPLOADS!$D:$D,$C132)</f>
        <v>0</v>
      </c>
      <c r="H132" s="17" t="str">
        <f t="shared" si="1"/>
        <v/>
      </c>
    </row>
    <row r="133" ht="15.75" customHeight="1">
      <c r="A133" s="17" t="s">
        <v>330</v>
      </c>
      <c r="B133" s="17" t="s">
        <v>7</v>
      </c>
      <c r="C133" s="17" t="s">
        <v>212</v>
      </c>
      <c r="D133" s="17" t="s">
        <v>213</v>
      </c>
      <c r="E133" s="17" t="s">
        <v>214</v>
      </c>
      <c r="F133" s="17" t="str">
        <f t="array" ref="F133">IFERROR(INDEX(PL4_TONG_HOP!$H$2:$H$5000,MATCH($C133,PL4_TONG_HOP!$A$2:$A$5000,0)),"")</f>
        <v/>
      </c>
      <c r="G133" s="17">
        <f>COUNTIFS(FILE_UPLOADS!$B:$B,$A133,FILE_UPLOADS!$D:$D,$C133)</f>
        <v>0</v>
      </c>
      <c r="H133" s="17" t="str">
        <f t="shared" si="1"/>
        <v/>
      </c>
    </row>
    <row r="134" ht="15.75" customHeight="1">
      <c r="A134" s="17" t="s">
        <v>330</v>
      </c>
      <c r="B134" s="17" t="s">
        <v>7</v>
      </c>
      <c r="C134" s="17" t="s">
        <v>215</v>
      </c>
      <c r="D134" s="17" t="s">
        <v>216</v>
      </c>
      <c r="E134" s="17" t="s">
        <v>217</v>
      </c>
      <c r="F134" s="17" t="str">
        <f t="array" ref="F134">IFERROR(INDEX(PL4_TONG_HOP!$H$2:$H$5000,MATCH($C134,PL4_TONG_HOP!$A$2:$A$5000,0)),"")</f>
        <v/>
      </c>
      <c r="G134" s="17">
        <f>COUNTIFS(FILE_UPLOADS!$B:$B,$A134,FILE_UPLOADS!$D:$D,$C134)</f>
        <v>0</v>
      </c>
      <c r="H134" s="17" t="str">
        <f t="shared" si="1"/>
        <v/>
      </c>
    </row>
    <row r="135" ht="15.75" customHeight="1">
      <c r="A135" s="17" t="s">
        <v>330</v>
      </c>
      <c r="B135" s="17" t="s">
        <v>7</v>
      </c>
      <c r="C135" s="17" t="s">
        <v>227</v>
      </c>
      <c r="D135" s="17" t="s">
        <v>228</v>
      </c>
      <c r="E135" s="17" t="s">
        <v>229</v>
      </c>
      <c r="F135" s="17" t="str">
        <f t="array" ref="F135">IFERROR(INDEX(PL4_TONG_HOP!$H$2:$H$5000,MATCH($C135,PL4_TONG_HOP!$A$2:$A$5000,0)),"")</f>
        <v/>
      </c>
      <c r="G135" s="17">
        <f>COUNTIFS(FILE_UPLOADS!$B:$B,$A135,FILE_UPLOADS!$D:$D,$C135)</f>
        <v>0</v>
      </c>
      <c r="H135" s="17" t="str">
        <f t="shared" si="1"/>
        <v/>
      </c>
    </row>
    <row r="136" ht="15.75" customHeight="1">
      <c r="A136" s="17" t="s">
        <v>330</v>
      </c>
      <c r="B136" s="17" t="s">
        <v>7</v>
      </c>
      <c r="C136" s="17" t="s">
        <v>230</v>
      </c>
      <c r="D136" s="17" t="s">
        <v>231</v>
      </c>
      <c r="E136" s="17" t="s">
        <v>232</v>
      </c>
      <c r="F136" s="17" t="str">
        <f t="array" ref="F136">IFERROR(INDEX(PL4_TONG_HOP!$H$2:$H$5000,MATCH($C136,PL4_TONG_HOP!$A$2:$A$5000,0)),"")</f>
        <v/>
      </c>
      <c r="G136" s="17">
        <f>COUNTIFS(FILE_UPLOADS!$B:$B,$A136,FILE_UPLOADS!$D:$D,$C136)</f>
        <v>0</v>
      </c>
      <c r="H136" s="17" t="str">
        <f t="shared" si="1"/>
        <v/>
      </c>
    </row>
    <row r="137" ht="15.75" customHeight="1">
      <c r="A137" s="17" t="s">
        <v>330</v>
      </c>
      <c r="B137" s="17" t="s">
        <v>7</v>
      </c>
      <c r="C137" s="17" t="s">
        <v>236</v>
      </c>
      <c r="D137" s="17" t="s">
        <v>237</v>
      </c>
      <c r="E137" s="17" t="s">
        <v>238</v>
      </c>
      <c r="F137" s="17" t="str">
        <f t="array" ref="F137">IFERROR(INDEX(PL4_TONG_HOP!$H$2:$H$5000,MATCH($C137,PL4_TONG_HOP!$A$2:$A$5000,0)),"")</f>
        <v/>
      </c>
      <c r="G137" s="17">
        <f>COUNTIFS(FILE_UPLOADS!$B:$B,$A137,FILE_UPLOADS!$D:$D,$C137)</f>
        <v>0</v>
      </c>
      <c r="H137" s="17" t="str">
        <f t="shared" si="1"/>
        <v/>
      </c>
    </row>
    <row r="138" ht="15.75" customHeight="1">
      <c r="A138" s="17" t="s">
        <v>330</v>
      </c>
      <c r="B138" s="17" t="s">
        <v>7</v>
      </c>
      <c r="C138" s="17" t="s">
        <v>239</v>
      </c>
      <c r="D138" s="17" t="s">
        <v>240</v>
      </c>
      <c r="E138" s="17" t="s">
        <v>241</v>
      </c>
      <c r="F138" s="17" t="str">
        <f t="array" ref="F138">IFERROR(INDEX(PL4_TONG_HOP!$H$2:$H$5000,MATCH($C138,PL4_TONG_HOP!$A$2:$A$5000,0)),"")</f>
        <v/>
      </c>
      <c r="G138" s="17">
        <f>COUNTIFS(FILE_UPLOADS!$B:$B,$A138,FILE_UPLOADS!$D:$D,$C138)</f>
        <v>0</v>
      </c>
      <c r="H138" s="17" t="str">
        <f t="shared" si="1"/>
        <v/>
      </c>
    </row>
    <row r="139" ht="15.75" customHeight="1">
      <c r="A139" s="17" t="s">
        <v>330</v>
      </c>
      <c r="B139" s="17" t="s">
        <v>7</v>
      </c>
      <c r="C139" s="17" t="s">
        <v>242</v>
      </c>
      <c r="D139" s="17" t="s">
        <v>243</v>
      </c>
      <c r="E139" s="17" t="s">
        <v>244</v>
      </c>
      <c r="F139" s="17" t="str">
        <f t="array" ref="F139">IFERROR(INDEX(PL4_TONG_HOP!$H$2:$H$5000,MATCH($C139,PL4_TONG_HOP!$A$2:$A$5000,0)),"")</f>
        <v/>
      </c>
      <c r="G139" s="17">
        <f>COUNTIFS(FILE_UPLOADS!$B:$B,$A139,FILE_UPLOADS!$D:$D,$C139)</f>
        <v>0</v>
      </c>
      <c r="H139" s="17" t="str">
        <f t="shared" si="1"/>
        <v/>
      </c>
    </row>
    <row r="140" ht="15.75" customHeight="1">
      <c r="A140" s="17" t="s">
        <v>330</v>
      </c>
      <c r="B140" s="17" t="s">
        <v>7</v>
      </c>
      <c r="C140" s="17" t="s">
        <v>248</v>
      </c>
      <c r="D140" s="17" t="s">
        <v>249</v>
      </c>
      <c r="E140" s="17" t="s">
        <v>250</v>
      </c>
      <c r="F140" s="17" t="str">
        <f t="array" ref="F140">IFERROR(INDEX(PL4_TONG_HOP!$H$2:$H$5000,MATCH($C140,PL4_TONG_HOP!$A$2:$A$5000,0)),"")</f>
        <v/>
      </c>
      <c r="G140" s="17">
        <f>COUNTIFS(FILE_UPLOADS!$B:$B,$A140,FILE_UPLOADS!$D:$D,$C140)</f>
        <v>0</v>
      </c>
      <c r="H140" s="17" t="str">
        <f t="shared" si="1"/>
        <v/>
      </c>
    </row>
    <row r="141" ht="15.75" customHeight="1">
      <c r="A141" s="17" t="s">
        <v>330</v>
      </c>
      <c r="B141" s="17" t="s">
        <v>7</v>
      </c>
      <c r="C141" s="17" t="s">
        <v>251</v>
      </c>
      <c r="D141" s="17" t="s">
        <v>252</v>
      </c>
      <c r="E141" s="17" t="s">
        <v>253</v>
      </c>
      <c r="F141" s="17" t="str">
        <f t="array" ref="F141">IFERROR(INDEX(PL4_TONG_HOP!$H$2:$H$5000,MATCH($C141,PL4_TONG_HOP!$A$2:$A$5000,0)),"")</f>
        <v/>
      </c>
      <c r="G141" s="17">
        <f>COUNTIFS(FILE_UPLOADS!$B:$B,$A141,FILE_UPLOADS!$D:$D,$C141)</f>
        <v>0</v>
      </c>
      <c r="H141" s="17" t="str">
        <f t="shared" si="1"/>
        <v/>
      </c>
    </row>
    <row r="142" ht="15.75" customHeight="1">
      <c r="A142" s="17" t="s">
        <v>330</v>
      </c>
      <c r="B142" s="17" t="s">
        <v>7</v>
      </c>
      <c r="C142" s="17" t="s">
        <v>254</v>
      </c>
      <c r="D142" s="17" t="s">
        <v>255</v>
      </c>
      <c r="E142" s="17" t="s">
        <v>256</v>
      </c>
      <c r="F142" s="17" t="str">
        <f t="array" ref="F142">IFERROR(INDEX(PL4_TONG_HOP!$H$2:$H$5000,MATCH($C142,PL4_TONG_HOP!$A$2:$A$5000,0)),"")</f>
        <v/>
      </c>
      <c r="G142" s="17">
        <f>COUNTIFS(FILE_UPLOADS!$B:$B,$A142,FILE_UPLOADS!$D:$D,$C142)</f>
        <v>0</v>
      </c>
      <c r="H142" s="17" t="str">
        <f t="shared" si="1"/>
        <v/>
      </c>
    </row>
    <row r="143" ht="15.75" customHeight="1">
      <c r="A143" s="17" t="s">
        <v>330</v>
      </c>
      <c r="B143" s="17" t="s">
        <v>7</v>
      </c>
      <c r="C143" s="17" t="s">
        <v>260</v>
      </c>
      <c r="D143" s="17" t="s">
        <v>261</v>
      </c>
      <c r="E143" s="17" t="s">
        <v>262</v>
      </c>
      <c r="F143" s="17" t="str">
        <f t="array" ref="F143">IFERROR(INDEX(PL4_TONG_HOP!$H$2:$H$5000,MATCH($C143,PL4_TONG_HOP!$A$2:$A$5000,0)),"")</f>
        <v/>
      </c>
      <c r="G143" s="17">
        <f>COUNTIFS(FILE_UPLOADS!$B:$B,$A143,FILE_UPLOADS!$D:$D,$C143)</f>
        <v>0</v>
      </c>
      <c r="H143" s="17" t="str">
        <f t="shared" si="1"/>
        <v/>
      </c>
    </row>
    <row r="144" ht="15.75" customHeight="1">
      <c r="A144" s="17" t="s">
        <v>330</v>
      </c>
      <c r="B144" s="17" t="s">
        <v>7</v>
      </c>
      <c r="C144" s="17" t="s">
        <v>263</v>
      </c>
      <c r="D144" s="17" t="s">
        <v>264</v>
      </c>
      <c r="E144" s="17" t="s">
        <v>265</v>
      </c>
      <c r="F144" s="17" t="str">
        <f t="array" ref="F144">IFERROR(INDEX(PL4_TONG_HOP!$H$2:$H$5000,MATCH($C144,PL4_TONG_HOP!$A$2:$A$5000,0)),"")</f>
        <v/>
      </c>
      <c r="G144" s="17">
        <f>COUNTIFS(FILE_UPLOADS!$B:$B,$A144,FILE_UPLOADS!$D:$D,$C144)</f>
        <v>0</v>
      </c>
      <c r="H144" s="17" t="str">
        <f t="shared" si="1"/>
        <v/>
      </c>
    </row>
    <row r="145" ht="15.75" customHeight="1">
      <c r="A145" s="17" t="s">
        <v>330</v>
      </c>
      <c r="B145" s="17" t="s">
        <v>7</v>
      </c>
      <c r="C145" s="17" t="s">
        <v>266</v>
      </c>
      <c r="D145" s="17" t="s">
        <v>267</v>
      </c>
      <c r="E145" s="17" t="s">
        <v>268</v>
      </c>
      <c r="F145" s="17" t="str">
        <f t="array" ref="F145">IFERROR(INDEX(PL4_TONG_HOP!$H$2:$H$5000,MATCH($C145,PL4_TONG_HOP!$A$2:$A$5000,0)),"")</f>
        <v/>
      </c>
      <c r="G145" s="17">
        <f>COUNTIFS(FILE_UPLOADS!$B:$B,$A145,FILE_UPLOADS!$D:$D,$C145)</f>
        <v>0</v>
      </c>
      <c r="H145" s="17" t="str">
        <f t="shared" si="1"/>
        <v/>
      </c>
    </row>
    <row r="146" ht="15.75" customHeight="1">
      <c r="A146" s="17" t="s">
        <v>330</v>
      </c>
      <c r="B146" s="17" t="s">
        <v>7</v>
      </c>
      <c r="C146" s="17" t="s">
        <v>269</v>
      </c>
      <c r="D146" s="17" t="s">
        <v>270</v>
      </c>
      <c r="E146" s="17" t="s">
        <v>271</v>
      </c>
      <c r="F146" s="17" t="str">
        <f t="array" ref="F146">IFERROR(INDEX(PL4_TONG_HOP!$H$2:$H$5000,MATCH($C146,PL4_TONG_HOP!$A$2:$A$5000,0)),"")</f>
        <v/>
      </c>
      <c r="G146" s="17">
        <f>COUNTIFS(FILE_UPLOADS!$B:$B,$A146,FILE_UPLOADS!$D:$D,$C146)</f>
        <v>0</v>
      </c>
      <c r="H146" s="17" t="str">
        <f t="shared" si="1"/>
        <v/>
      </c>
    </row>
    <row r="147" ht="15.75" customHeight="1">
      <c r="A147" s="17" t="s">
        <v>330</v>
      </c>
      <c r="B147" s="17" t="s">
        <v>7</v>
      </c>
      <c r="C147" s="17" t="s">
        <v>272</v>
      </c>
      <c r="D147" s="17" t="s">
        <v>273</v>
      </c>
      <c r="E147" s="17" t="s">
        <v>274</v>
      </c>
      <c r="F147" s="17" t="str">
        <f t="array" ref="F147">IFERROR(INDEX(PL4_TONG_HOP!$H$2:$H$5000,MATCH($C147,PL4_TONG_HOP!$A$2:$A$5000,0)),"")</f>
        <v/>
      </c>
      <c r="G147" s="17">
        <f>COUNTIFS(FILE_UPLOADS!$B:$B,$A147,FILE_UPLOADS!$D:$D,$C147)</f>
        <v>0</v>
      </c>
      <c r="H147" s="17" t="str">
        <f t="shared" si="1"/>
        <v/>
      </c>
    </row>
    <row r="148" ht="15.75" customHeight="1">
      <c r="A148" s="17" t="s">
        <v>330</v>
      </c>
      <c r="B148" s="17" t="s">
        <v>7</v>
      </c>
      <c r="C148" s="17" t="s">
        <v>275</v>
      </c>
      <c r="D148" s="17" t="s">
        <v>276</v>
      </c>
      <c r="E148" s="17" t="s">
        <v>277</v>
      </c>
      <c r="F148" s="17" t="str">
        <f t="array" ref="F148">IFERROR(INDEX(PL4_TONG_HOP!$H$2:$H$5000,MATCH($C148,PL4_TONG_HOP!$A$2:$A$5000,0)),"")</f>
        <v/>
      </c>
      <c r="G148" s="17">
        <f>COUNTIFS(FILE_UPLOADS!$B:$B,$A148,FILE_UPLOADS!$D:$D,$C148)</f>
        <v>0</v>
      </c>
      <c r="H148" s="17" t="str">
        <f t="shared" si="1"/>
        <v/>
      </c>
    </row>
    <row r="149" ht="15.75" customHeight="1">
      <c r="A149" s="17" t="s">
        <v>330</v>
      </c>
      <c r="B149" s="17" t="s">
        <v>7</v>
      </c>
      <c r="C149" s="17" t="s">
        <v>278</v>
      </c>
      <c r="D149" s="17" t="s">
        <v>279</v>
      </c>
      <c r="E149" s="17" t="s">
        <v>280</v>
      </c>
      <c r="F149" s="17" t="str">
        <f t="array" ref="F149">IFERROR(INDEX(PL4_TONG_HOP!$H$2:$H$5000,MATCH($C149,PL4_TONG_HOP!$A$2:$A$5000,0)),"")</f>
        <v/>
      </c>
      <c r="G149" s="17">
        <f>COUNTIFS(FILE_UPLOADS!$B:$B,$A149,FILE_UPLOADS!$D:$D,$C149)</f>
        <v>0</v>
      </c>
      <c r="H149" s="17" t="str">
        <f t="shared" si="1"/>
        <v/>
      </c>
    </row>
    <row r="150" ht="15.75" customHeight="1">
      <c r="A150" s="17" t="s">
        <v>330</v>
      </c>
      <c r="B150" s="17" t="s">
        <v>7</v>
      </c>
      <c r="C150" s="17" t="s">
        <v>281</v>
      </c>
      <c r="D150" s="17" t="s">
        <v>282</v>
      </c>
      <c r="E150" s="17" t="s">
        <v>283</v>
      </c>
      <c r="F150" s="17" t="str">
        <f t="array" ref="F150">IFERROR(INDEX(PL4_TONG_HOP!$H$2:$H$5000,MATCH($C150,PL4_TONG_HOP!$A$2:$A$5000,0)),"")</f>
        <v/>
      </c>
      <c r="G150" s="17">
        <f>COUNTIFS(FILE_UPLOADS!$B:$B,$A150,FILE_UPLOADS!$D:$D,$C150)</f>
        <v>0</v>
      </c>
      <c r="H150" s="17" t="str">
        <f t="shared" si="1"/>
        <v/>
      </c>
    </row>
    <row r="151" ht="15.75" customHeight="1">
      <c r="A151" s="17" t="s">
        <v>330</v>
      </c>
      <c r="B151" s="17" t="s">
        <v>7</v>
      </c>
      <c r="C151" s="17" t="s">
        <v>290</v>
      </c>
      <c r="D151" s="17" t="s">
        <v>291</v>
      </c>
      <c r="E151" s="17" t="s">
        <v>292</v>
      </c>
      <c r="F151" s="17" t="str">
        <f t="array" ref="F151">IFERROR(INDEX(PL4_TONG_HOP!$H$2:$H$5000,MATCH($C151,PL4_TONG_HOP!$A$2:$A$5000,0)),"")</f>
        <v/>
      </c>
      <c r="G151" s="17">
        <f>COUNTIFS(FILE_UPLOADS!$B:$B,$A151,FILE_UPLOADS!$D:$D,$C151)</f>
        <v>0</v>
      </c>
      <c r="H151" s="17" t="str">
        <f t="shared" si="1"/>
        <v/>
      </c>
    </row>
    <row r="152" ht="15.75" customHeight="1">
      <c r="A152" s="17" t="s">
        <v>330</v>
      </c>
      <c r="B152" s="17" t="s">
        <v>7</v>
      </c>
      <c r="C152" s="17" t="s">
        <v>293</v>
      </c>
      <c r="D152" s="17" t="s">
        <v>294</v>
      </c>
      <c r="E152" s="17" t="s">
        <v>295</v>
      </c>
      <c r="F152" s="17" t="str">
        <f t="array" ref="F152">IFERROR(INDEX(PL4_TONG_HOP!$H$2:$H$5000,MATCH($C152,PL4_TONG_HOP!$A$2:$A$5000,0)),"")</f>
        <v/>
      </c>
      <c r="G152" s="17">
        <f>COUNTIFS(FILE_UPLOADS!$B:$B,$A152,FILE_UPLOADS!$D:$D,$C152)</f>
        <v>0</v>
      </c>
      <c r="H152" s="17" t="str">
        <f t="shared" si="1"/>
        <v/>
      </c>
    </row>
    <row r="153" ht="15.75" customHeight="1">
      <c r="A153" s="17" t="s">
        <v>330</v>
      </c>
      <c r="B153" s="17" t="s">
        <v>7</v>
      </c>
      <c r="C153" s="17" t="s">
        <v>299</v>
      </c>
      <c r="D153" s="17" t="s">
        <v>300</v>
      </c>
      <c r="E153" s="17" t="s">
        <v>301</v>
      </c>
      <c r="F153" s="17" t="str">
        <f t="array" ref="F153">IFERROR(INDEX(PL4_TONG_HOP!$H$2:$H$5000,MATCH($C153,PL4_TONG_HOP!$A$2:$A$5000,0)),"")</f>
        <v/>
      </c>
      <c r="G153" s="17">
        <f>COUNTIFS(FILE_UPLOADS!$B:$B,$A153,FILE_UPLOADS!$D:$D,$C153)</f>
        <v>0</v>
      </c>
      <c r="H153" s="17" t="str">
        <f t="shared" si="1"/>
        <v/>
      </c>
    </row>
    <row r="154" ht="15.75" customHeight="1">
      <c r="A154" s="17" t="s">
        <v>330</v>
      </c>
      <c r="B154" s="17" t="s">
        <v>7</v>
      </c>
      <c r="C154" s="17" t="s">
        <v>302</v>
      </c>
      <c r="D154" s="17" t="s">
        <v>303</v>
      </c>
      <c r="E154" s="17" t="s">
        <v>304</v>
      </c>
      <c r="F154" s="17" t="str">
        <f t="array" ref="F154">IFERROR(INDEX(PL4_TONG_HOP!$H$2:$H$5000,MATCH($C154,PL4_TONG_HOP!$A$2:$A$5000,0)),"")</f>
        <v/>
      </c>
      <c r="G154" s="17">
        <f>COUNTIFS(FILE_UPLOADS!$B:$B,$A154,FILE_UPLOADS!$D:$D,$C154)</f>
        <v>0</v>
      </c>
      <c r="H154" s="17" t="str">
        <f t="shared" si="1"/>
        <v/>
      </c>
    </row>
    <row r="155" ht="15.75" customHeight="1">
      <c r="A155" s="17" t="s">
        <v>330</v>
      </c>
      <c r="B155" s="17" t="s">
        <v>7</v>
      </c>
      <c r="C155" s="17" t="s">
        <v>308</v>
      </c>
      <c r="D155" s="17" t="s">
        <v>309</v>
      </c>
      <c r="E155" s="17" t="s">
        <v>310</v>
      </c>
      <c r="F155" s="17" t="str">
        <f t="array" ref="F155">IFERROR(INDEX(PL4_TONG_HOP!$H$2:$H$5000,MATCH($C155,PL4_TONG_HOP!$A$2:$A$5000,0)),"")</f>
        <v/>
      </c>
      <c r="G155" s="17">
        <f>COUNTIFS(FILE_UPLOADS!$B:$B,$A155,FILE_UPLOADS!$D:$D,$C155)</f>
        <v>0</v>
      </c>
      <c r="H155" s="17" t="str">
        <f t="shared" si="1"/>
        <v/>
      </c>
    </row>
    <row r="156" ht="15.75" customHeight="1">
      <c r="A156" s="17" t="s">
        <v>330</v>
      </c>
      <c r="B156" s="17" t="s">
        <v>7</v>
      </c>
      <c r="C156" s="17" t="s">
        <v>311</v>
      </c>
      <c r="D156" s="17" t="s">
        <v>312</v>
      </c>
      <c r="E156" s="17" t="s">
        <v>313</v>
      </c>
      <c r="F156" s="17" t="str">
        <f t="array" ref="F156">IFERROR(INDEX(PL4_TONG_HOP!$H$2:$H$5000,MATCH($C156,PL4_TONG_HOP!$A$2:$A$5000,0)),"")</f>
        <v/>
      </c>
      <c r="G156" s="17">
        <f>COUNTIFS(FILE_UPLOADS!$B:$B,$A156,FILE_UPLOADS!$D:$D,$C156)</f>
        <v>0</v>
      </c>
      <c r="H156" s="17" t="str">
        <f t="shared" si="1"/>
        <v/>
      </c>
    </row>
    <row r="157" ht="15.75" customHeight="1">
      <c r="A157" s="17" t="s">
        <v>330</v>
      </c>
      <c r="B157" s="17" t="s">
        <v>7</v>
      </c>
      <c r="C157" s="17" t="s">
        <v>314</v>
      </c>
      <c r="D157" s="17" t="s">
        <v>315</v>
      </c>
      <c r="E157" s="17" t="s">
        <v>316</v>
      </c>
      <c r="F157" s="17" t="str">
        <f t="array" ref="F157">IFERROR(INDEX(PL4_TONG_HOP!$H$2:$H$5000,MATCH($C157,PL4_TONG_HOP!$A$2:$A$5000,0)),"")</f>
        <v/>
      </c>
      <c r="G157" s="17">
        <f>COUNTIFS(FILE_UPLOADS!$B:$B,$A157,FILE_UPLOADS!$D:$D,$C157)</f>
        <v>0</v>
      </c>
      <c r="H157" s="17" t="str">
        <f t="shared" si="1"/>
        <v/>
      </c>
    </row>
    <row r="158" ht="15.75" customHeight="1">
      <c r="A158" s="17" t="s">
        <v>331</v>
      </c>
      <c r="B158" s="17" t="s">
        <v>8</v>
      </c>
      <c r="C158" s="17" t="s">
        <v>46</v>
      </c>
      <c r="D158" s="17" t="s">
        <v>47</v>
      </c>
      <c r="E158" s="17" t="s">
        <v>48</v>
      </c>
      <c r="F158" s="17" t="str">
        <f t="array" ref="F158">IFERROR(INDEX(PL4_TONG_HOP!$I$2:$I$5000,MATCH($C158,PL4_TONG_HOP!$A$2:$A$5000,0)),"")</f>
        <v/>
      </c>
      <c r="G158" s="17">
        <f>COUNTIFS(FILE_UPLOADS!$B:$B,$A158,FILE_UPLOADS!$D:$D,$C158)</f>
        <v>0</v>
      </c>
      <c r="H158" s="17" t="str">
        <f t="shared" si="1"/>
        <v/>
      </c>
    </row>
    <row r="159" ht="15.75" customHeight="1">
      <c r="A159" s="17" t="s">
        <v>331</v>
      </c>
      <c r="B159" s="17" t="s">
        <v>8</v>
      </c>
      <c r="C159" s="17" t="s">
        <v>78</v>
      </c>
      <c r="D159" s="17" t="s">
        <v>79</v>
      </c>
      <c r="E159" s="17" t="s">
        <v>80</v>
      </c>
      <c r="F159" s="17" t="str">
        <f t="array" ref="F159">IFERROR(INDEX(PL4_TONG_HOP!$I$2:$I$5000,MATCH($C159,PL4_TONG_HOP!$A$2:$A$5000,0)),"")</f>
        <v/>
      </c>
      <c r="G159" s="17">
        <f>COUNTIFS(FILE_UPLOADS!$B:$B,$A159,FILE_UPLOADS!$D:$D,$C159)</f>
        <v>0</v>
      </c>
      <c r="H159" s="17" t="str">
        <f t="shared" si="1"/>
        <v/>
      </c>
    </row>
    <row r="160" ht="15.75" customHeight="1">
      <c r="A160" s="17" t="s">
        <v>331</v>
      </c>
      <c r="B160" s="17" t="s">
        <v>8</v>
      </c>
      <c r="C160" s="17" t="s">
        <v>81</v>
      </c>
      <c r="D160" s="17" t="s">
        <v>82</v>
      </c>
      <c r="E160" s="17" t="s">
        <v>83</v>
      </c>
      <c r="F160" s="17" t="str">
        <f t="array" ref="F160">IFERROR(INDEX(PL4_TONG_HOP!$I$2:$I$5000,MATCH($C160,PL4_TONG_HOP!$A$2:$A$5000,0)),"")</f>
        <v/>
      </c>
      <c r="G160" s="17">
        <f>COUNTIFS(FILE_UPLOADS!$B:$B,$A160,FILE_UPLOADS!$D:$D,$C160)</f>
        <v>0</v>
      </c>
      <c r="H160" s="17" t="str">
        <f t="shared" si="1"/>
        <v/>
      </c>
    </row>
    <row r="161" ht="15.75" customHeight="1">
      <c r="A161" s="17" t="s">
        <v>331</v>
      </c>
      <c r="B161" s="17" t="s">
        <v>8</v>
      </c>
      <c r="C161" s="17" t="s">
        <v>87</v>
      </c>
      <c r="D161" s="17" t="s">
        <v>88</v>
      </c>
      <c r="E161" s="17" t="s">
        <v>89</v>
      </c>
      <c r="F161" s="17" t="str">
        <f t="array" ref="F161">IFERROR(INDEX(PL4_TONG_HOP!$I$2:$I$5000,MATCH($C161,PL4_TONG_HOP!$A$2:$A$5000,0)),"")</f>
        <v/>
      </c>
      <c r="G161" s="17">
        <f>COUNTIFS(FILE_UPLOADS!$B:$B,$A161,FILE_UPLOADS!$D:$D,$C161)</f>
        <v>0</v>
      </c>
      <c r="H161" s="17" t="str">
        <f t="shared" si="1"/>
        <v/>
      </c>
    </row>
    <row r="162" ht="15.75" customHeight="1">
      <c r="A162" s="17" t="s">
        <v>331</v>
      </c>
      <c r="B162" s="17" t="s">
        <v>8</v>
      </c>
      <c r="C162" s="17" t="s">
        <v>90</v>
      </c>
      <c r="D162" s="17" t="s">
        <v>91</v>
      </c>
      <c r="E162" s="17" t="s">
        <v>92</v>
      </c>
      <c r="F162" s="17" t="str">
        <f t="array" ref="F162">IFERROR(INDEX(PL4_TONG_HOP!$I$2:$I$5000,MATCH($C162,PL4_TONG_HOP!$A$2:$A$5000,0)),"")</f>
        <v/>
      </c>
      <c r="G162" s="17">
        <f>COUNTIFS(FILE_UPLOADS!$B:$B,$A162,FILE_UPLOADS!$D:$D,$C162)</f>
        <v>0</v>
      </c>
      <c r="H162" s="17" t="str">
        <f t="shared" si="1"/>
        <v/>
      </c>
    </row>
    <row r="163" ht="15.75" customHeight="1">
      <c r="A163" s="17" t="s">
        <v>331</v>
      </c>
      <c r="B163" s="17" t="s">
        <v>8</v>
      </c>
      <c r="C163" s="17" t="s">
        <v>93</v>
      </c>
      <c r="D163" s="17" t="s">
        <v>85</v>
      </c>
      <c r="E163" s="17" t="s">
        <v>94</v>
      </c>
      <c r="F163" s="17" t="str">
        <f t="array" ref="F163">IFERROR(INDEX(PL4_TONG_HOP!$I$2:$I$5000,MATCH($C163,PL4_TONG_HOP!$A$2:$A$5000,0)),"")</f>
        <v/>
      </c>
      <c r="G163" s="17">
        <f>COUNTIFS(FILE_UPLOADS!$B:$B,$A163,FILE_UPLOADS!$D:$D,$C163)</f>
        <v>0</v>
      </c>
      <c r="H163" s="17" t="str">
        <f t="shared" si="1"/>
        <v/>
      </c>
    </row>
    <row r="164" ht="15.75" customHeight="1">
      <c r="A164" s="17" t="s">
        <v>331</v>
      </c>
      <c r="B164" s="17" t="s">
        <v>8</v>
      </c>
      <c r="C164" s="17" t="s">
        <v>95</v>
      </c>
      <c r="D164" s="17" t="s">
        <v>96</v>
      </c>
      <c r="E164" s="17" t="s">
        <v>97</v>
      </c>
      <c r="F164" s="17" t="str">
        <f t="array" ref="F164">IFERROR(INDEX(PL4_TONG_HOP!$I$2:$I$5000,MATCH($C164,PL4_TONG_HOP!$A$2:$A$5000,0)),"")</f>
        <v/>
      </c>
      <c r="G164" s="17">
        <f>COUNTIFS(FILE_UPLOADS!$B:$B,$A164,FILE_UPLOADS!$D:$D,$C164)</f>
        <v>0</v>
      </c>
      <c r="H164" s="17" t="str">
        <f t="shared" si="1"/>
        <v/>
      </c>
    </row>
    <row r="165" ht="15.75" customHeight="1">
      <c r="A165" s="17" t="s">
        <v>331</v>
      </c>
      <c r="B165" s="17" t="s">
        <v>8</v>
      </c>
      <c r="C165" s="17" t="s">
        <v>98</v>
      </c>
      <c r="D165" s="17" t="s">
        <v>99</v>
      </c>
      <c r="E165" s="17" t="s">
        <v>100</v>
      </c>
      <c r="F165" s="17" t="str">
        <f t="array" ref="F165">IFERROR(INDEX(PL4_TONG_HOP!$I$2:$I$5000,MATCH($C165,PL4_TONG_HOP!$A$2:$A$5000,0)),"")</f>
        <v/>
      </c>
      <c r="G165" s="17">
        <f>COUNTIFS(FILE_UPLOADS!$B:$B,$A165,FILE_UPLOADS!$D:$D,$C165)</f>
        <v>0</v>
      </c>
      <c r="H165" s="17" t="str">
        <f t="shared" si="1"/>
        <v/>
      </c>
    </row>
    <row r="166" ht="15.75" customHeight="1">
      <c r="A166" s="17" t="s">
        <v>331</v>
      </c>
      <c r="B166" s="17" t="s">
        <v>8</v>
      </c>
      <c r="C166" s="17" t="s">
        <v>101</v>
      </c>
      <c r="D166" s="17" t="s">
        <v>102</v>
      </c>
      <c r="E166" s="17" t="s">
        <v>103</v>
      </c>
      <c r="F166" s="17" t="str">
        <f t="array" ref="F166">IFERROR(INDEX(PL4_TONG_HOP!$I$2:$I$5000,MATCH($C166,PL4_TONG_HOP!$A$2:$A$5000,0)),"")</f>
        <v/>
      </c>
      <c r="G166" s="17">
        <f>COUNTIFS(FILE_UPLOADS!$B:$B,$A166,FILE_UPLOADS!$D:$D,$C166)</f>
        <v>0</v>
      </c>
      <c r="H166" s="17" t="str">
        <f t="shared" si="1"/>
        <v/>
      </c>
    </row>
    <row r="167" ht="15.75" customHeight="1">
      <c r="A167" s="17" t="s">
        <v>331</v>
      </c>
      <c r="B167" s="17" t="s">
        <v>8</v>
      </c>
      <c r="C167" s="17" t="s">
        <v>113</v>
      </c>
      <c r="D167" s="17" t="s">
        <v>114</v>
      </c>
      <c r="E167" s="17" t="s">
        <v>115</v>
      </c>
      <c r="F167" s="17" t="str">
        <f t="array" ref="F167">IFERROR(INDEX(PL4_TONG_HOP!$I$2:$I$5000,MATCH($C167,PL4_TONG_HOP!$A$2:$A$5000,0)),"")</f>
        <v/>
      </c>
      <c r="G167" s="17">
        <f>COUNTIFS(FILE_UPLOADS!$B:$B,$A167,FILE_UPLOADS!$D:$D,$C167)</f>
        <v>0</v>
      </c>
      <c r="H167" s="17" t="str">
        <f t="shared" si="1"/>
        <v/>
      </c>
    </row>
    <row r="168" ht="15.75" customHeight="1">
      <c r="A168" s="17" t="s">
        <v>331</v>
      </c>
      <c r="B168" s="17" t="s">
        <v>8</v>
      </c>
      <c r="C168" s="17" t="s">
        <v>116</v>
      </c>
      <c r="D168" s="17" t="s">
        <v>117</v>
      </c>
      <c r="E168" s="17" t="s">
        <v>118</v>
      </c>
      <c r="F168" s="17" t="str">
        <f t="array" ref="F168">IFERROR(INDEX(PL4_TONG_HOP!$I$2:$I$5000,MATCH($C168,PL4_TONG_HOP!$A$2:$A$5000,0)),"")</f>
        <v/>
      </c>
      <c r="G168" s="17">
        <f>COUNTIFS(FILE_UPLOADS!$B:$B,$A168,FILE_UPLOADS!$D:$D,$C168)</f>
        <v>0</v>
      </c>
      <c r="H168" s="17" t="str">
        <f t="shared" si="1"/>
        <v/>
      </c>
    </row>
    <row r="169" ht="15.75" customHeight="1">
      <c r="A169" s="17" t="s">
        <v>331</v>
      </c>
      <c r="B169" s="17" t="s">
        <v>8</v>
      </c>
      <c r="C169" s="17" t="s">
        <v>119</v>
      </c>
      <c r="D169" s="17" t="s">
        <v>120</v>
      </c>
      <c r="E169" s="17" t="s">
        <v>121</v>
      </c>
      <c r="F169" s="17" t="str">
        <f t="array" ref="F169">IFERROR(INDEX(PL4_TONG_HOP!$I$2:$I$5000,MATCH($C169,PL4_TONG_HOP!$A$2:$A$5000,0)),"")</f>
        <v/>
      </c>
      <c r="G169" s="17">
        <f>COUNTIFS(FILE_UPLOADS!$B:$B,$A169,FILE_UPLOADS!$D:$D,$C169)</f>
        <v>0</v>
      </c>
      <c r="H169" s="17" t="str">
        <f t="shared" si="1"/>
        <v/>
      </c>
    </row>
    <row r="170" ht="15.75" customHeight="1">
      <c r="A170" s="17" t="s">
        <v>331</v>
      </c>
      <c r="B170" s="17" t="s">
        <v>8</v>
      </c>
      <c r="C170" s="17" t="s">
        <v>122</v>
      </c>
      <c r="D170" s="17" t="s">
        <v>123</v>
      </c>
      <c r="E170" s="17" t="s">
        <v>124</v>
      </c>
      <c r="F170" s="17" t="str">
        <f t="array" ref="F170">IFERROR(INDEX(PL4_TONG_HOP!$I$2:$I$5000,MATCH($C170,PL4_TONG_HOP!$A$2:$A$5000,0)),"")</f>
        <v/>
      </c>
      <c r="G170" s="17">
        <f>COUNTIFS(FILE_UPLOADS!$B:$B,$A170,FILE_UPLOADS!$D:$D,$C170)</f>
        <v>0</v>
      </c>
      <c r="H170" s="17" t="str">
        <f t="shared" si="1"/>
        <v/>
      </c>
    </row>
    <row r="171" ht="15.75" customHeight="1">
      <c r="A171" s="17" t="s">
        <v>331</v>
      </c>
      <c r="B171" s="17" t="s">
        <v>8</v>
      </c>
      <c r="C171" s="17" t="s">
        <v>125</v>
      </c>
      <c r="D171" s="17" t="s">
        <v>126</v>
      </c>
      <c r="E171" s="17" t="s">
        <v>127</v>
      </c>
      <c r="F171" s="17" t="str">
        <f t="array" ref="F171">IFERROR(INDEX(PL4_TONG_HOP!$I$2:$I$5000,MATCH($C171,PL4_TONG_HOP!$A$2:$A$5000,0)),"")</f>
        <v/>
      </c>
      <c r="G171" s="17">
        <f>COUNTIFS(FILE_UPLOADS!$B:$B,$A171,FILE_UPLOADS!$D:$D,$C171)</f>
        <v>0</v>
      </c>
      <c r="H171" s="17" t="str">
        <f t="shared" si="1"/>
        <v/>
      </c>
    </row>
    <row r="172" ht="15.75" customHeight="1">
      <c r="A172" s="17" t="s">
        <v>331</v>
      </c>
      <c r="B172" s="17" t="s">
        <v>8</v>
      </c>
      <c r="C172" s="17" t="s">
        <v>128</v>
      </c>
      <c r="D172" s="17" t="s">
        <v>129</v>
      </c>
      <c r="E172" s="17" t="s">
        <v>130</v>
      </c>
      <c r="F172" s="17" t="str">
        <f t="array" ref="F172">IFERROR(INDEX(PL4_TONG_HOP!$I$2:$I$5000,MATCH($C172,PL4_TONG_HOP!$A$2:$A$5000,0)),"")</f>
        <v/>
      </c>
      <c r="G172" s="17">
        <f>COUNTIFS(FILE_UPLOADS!$B:$B,$A172,FILE_UPLOADS!$D:$D,$C172)</f>
        <v>0</v>
      </c>
      <c r="H172" s="17" t="str">
        <f t="shared" si="1"/>
        <v/>
      </c>
    </row>
    <row r="173" ht="15.75" customHeight="1">
      <c r="A173" s="17" t="s">
        <v>331</v>
      </c>
      <c r="B173" s="17" t="s">
        <v>8</v>
      </c>
      <c r="C173" s="17" t="s">
        <v>131</v>
      </c>
      <c r="D173" s="17" t="s">
        <v>132</v>
      </c>
      <c r="E173" s="17" t="s">
        <v>133</v>
      </c>
      <c r="F173" s="17" t="str">
        <f t="array" ref="F173">IFERROR(INDEX(PL4_TONG_HOP!$I$2:$I$5000,MATCH($C173,PL4_TONG_HOP!$A$2:$A$5000,0)),"")</f>
        <v/>
      </c>
      <c r="G173" s="17">
        <f>COUNTIFS(FILE_UPLOADS!$B:$B,$A173,FILE_UPLOADS!$D:$D,$C173)</f>
        <v>0</v>
      </c>
      <c r="H173" s="17" t="str">
        <f t="shared" si="1"/>
        <v/>
      </c>
    </row>
    <row r="174" ht="15.75" customHeight="1">
      <c r="A174" s="17" t="s">
        <v>331</v>
      </c>
      <c r="B174" s="17" t="s">
        <v>8</v>
      </c>
      <c r="C174" s="17" t="s">
        <v>134</v>
      </c>
      <c r="D174" s="17" t="s">
        <v>135</v>
      </c>
      <c r="E174" s="17" t="s">
        <v>136</v>
      </c>
      <c r="F174" s="17" t="str">
        <f t="array" ref="F174">IFERROR(INDEX(PL4_TONG_HOP!$I$2:$I$5000,MATCH($C174,PL4_TONG_HOP!$A$2:$A$5000,0)),"")</f>
        <v/>
      </c>
      <c r="G174" s="17">
        <f>COUNTIFS(FILE_UPLOADS!$B:$B,$A174,FILE_UPLOADS!$D:$D,$C174)</f>
        <v>0</v>
      </c>
      <c r="H174" s="17" t="str">
        <f t="shared" si="1"/>
        <v/>
      </c>
    </row>
    <row r="175" ht="15.75" customHeight="1">
      <c r="A175" s="17" t="s">
        <v>331</v>
      </c>
      <c r="B175" s="17" t="s">
        <v>8</v>
      </c>
      <c r="C175" s="17" t="s">
        <v>140</v>
      </c>
      <c r="D175" s="17" t="s">
        <v>141</v>
      </c>
      <c r="E175" s="17" t="s">
        <v>142</v>
      </c>
      <c r="F175" s="17" t="str">
        <f t="array" ref="F175">IFERROR(INDEX(PL4_TONG_HOP!$I$2:$I$5000,MATCH($C175,PL4_TONG_HOP!$A$2:$A$5000,0)),"")</f>
        <v/>
      </c>
      <c r="G175" s="17">
        <f>COUNTIFS(FILE_UPLOADS!$B:$B,$A175,FILE_UPLOADS!$D:$D,$C175)</f>
        <v>0</v>
      </c>
      <c r="H175" s="17" t="str">
        <f t="shared" si="1"/>
        <v/>
      </c>
    </row>
    <row r="176" ht="15.75" customHeight="1">
      <c r="A176" s="17" t="s">
        <v>331</v>
      </c>
      <c r="B176" s="17" t="s">
        <v>8</v>
      </c>
      <c r="C176" s="17" t="s">
        <v>143</v>
      </c>
      <c r="D176" s="17" t="s">
        <v>144</v>
      </c>
      <c r="E176" s="17" t="s">
        <v>145</v>
      </c>
      <c r="F176" s="17" t="str">
        <f t="array" ref="F176">IFERROR(INDEX(PL4_TONG_HOP!$I$2:$I$5000,MATCH($C176,PL4_TONG_HOP!$A$2:$A$5000,0)),"")</f>
        <v/>
      </c>
      <c r="G176" s="17">
        <f>COUNTIFS(FILE_UPLOADS!$B:$B,$A176,FILE_UPLOADS!$D:$D,$C176)</f>
        <v>0</v>
      </c>
      <c r="H176" s="17" t="str">
        <f t="shared" si="1"/>
        <v/>
      </c>
    </row>
    <row r="177" ht="15.75" customHeight="1">
      <c r="A177" s="17" t="s">
        <v>331</v>
      </c>
      <c r="B177" s="17" t="s">
        <v>8</v>
      </c>
      <c r="C177" s="17" t="s">
        <v>149</v>
      </c>
      <c r="D177" s="17" t="s">
        <v>150</v>
      </c>
      <c r="E177" s="17" t="s">
        <v>151</v>
      </c>
      <c r="F177" s="17" t="str">
        <f t="array" ref="F177">IFERROR(INDEX(PL4_TONG_HOP!$I$2:$I$5000,MATCH($C177,PL4_TONG_HOP!$A$2:$A$5000,0)),"")</f>
        <v/>
      </c>
      <c r="G177" s="17">
        <f>COUNTIFS(FILE_UPLOADS!$B:$B,$A177,FILE_UPLOADS!$D:$D,$C177)</f>
        <v>0</v>
      </c>
      <c r="H177" s="17" t="str">
        <f t="shared" si="1"/>
        <v/>
      </c>
    </row>
    <row r="178" ht="15.75" customHeight="1">
      <c r="A178" s="17" t="s">
        <v>331</v>
      </c>
      <c r="B178" s="17" t="s">
        <v>8</v>
      </c>
      <c r="C178" s="17" t="s">
        <v>152</v>
      </c>
      <c r="D178" s="17" t="s">
        <v>153</v>
      </c>
      <c r="E178" s="17" t="s">
        <v>154</v>
      </c>
      <c r="F178" s="17" t="str">
        <f t="array" ref="F178">IFERROR(INDEX(PL4_TONG_HOP!$I$2:$I$5000,MATCH($C178,PL4_TONG_HOP!$A$2:$A$5000,0)),"")</f>
        <v/>
      </c>
      <c r="G178" s="17">
        <f>COUNTIFS(FILE_UPLOADS!$B:$B,$A178,FILE_UPLOADS!$D:$D,$C178)</f>
        <v>0</v>
      </c>
      <c r="H178" s="17" t="str">
        <f t="shared" si="1"/>
        <v/>
      </c>
    </row>
    <row r="179" ht="15.75" customHeight="1">
      <c r="A179" s="17" t="s">
        <v>331</v>
      </c>
      <c r="B179" s="17" t="s">
        <v>8</v>
      </c>
      <c r="C179" s="17" t="s">
        <v>155</v>
      </c>
      <c r="D179" s="17" t="s">
        <v>156</v>
      </c>
      <c r="E179" s="17" t="s">
        <v>157</v>
      </c>
      <c r="F179" s="17" t="str">
        <f t="array" ref="F179">IFERROR(INDEX(PL4_TONG_HOP!$I$2:$I$5000,MATCH($C179,PL4_TONG_HOP!$A$2:$A$5000,0)),"")</f>
        <v/>
      </c>
      <c r="G179" s="17">
        <f>COUNTIFS(FILE_UPLOADS!$B:$B,$A179,FILE_UPLOADS!$D:$D,$C179)</f>
        <v>0</v>
      </c>
      <c r="H179" s="17" t="str">
        <f t="shared" si="1"/>
        <v/>
      </c>
    </row>
    <row r="180" ht="15.75" customHeight="1">
      <c r="A180" s="17" t="s">
        <v>331</v>
      </c>
      <c r="B180" s="17" t="s">
        <v>8</v>
      </c>
      <c r="C180" s="17" t="s">
        <v>161</v>
      </c>
      <c r="D180" s="17" t="s">
        <v>162</v>
      </c>
      <c r="E180" s="17" t="s">
        <v>163</v>
      </c>
      <c r="F180" s="17" t="str">
        <f t="array" ref="F180">IFERROR(INDEX(PL4_TONG_HOP!$I$2:$I$5000,MATCH($C180,PL4_TONG_HOP!$A$2:$A$5000,0)),"")</f>
        <v/>
      </c>
      <c r="G180" s="17">
        <f>COUNTIFS(FILE_UPLOADS!$B:$B,$A180,FILE_UPLOADS!$D:$D,$C180)</f>
        <v>0</v>
      </c>
      <c r="H180" s="17" t="str">
        <f t="shared" si="1"/>
        <v/>
      </c>
    </row>
    <row r="181" ht="15.75" customHeight="1">
      <c r="A181" s="17" t="s">
        <v>331</v>
      </c>
      <c r="B181" s="17" t="s">
        <v>8</v>
      </c>
      <c r="C181" s="17" t="s">
        <v>164</v>
      </c>
      <c r="D181" s="17" t="s">
        <v>165</v>
      </c>
      <c r="E181" s="17" t="s">
        <v>166</v>
      </c>
      <c r="F181" s="17" t="str">
        <f t="array" ref="F181">IFERROR(INDEX(PL4_TONG_HOP!$I$2:$I$5000,MATCH($C181,PL4_TONG_HOP!$A$2:$A$5000,0)),"")</f>
        <v/>
      </c>
      <c r="G181" s="17">
        <f>COUNTIFS(FILE_UPLOADS!$B:$B,$A181,FILE_UPLOADS!$D:$D,$C181)</f>
        <v>0</v>
      </c>
      <c r="H181" s="17" t="str">
        <f t="shared" si="1"/>
        <v/>
      </c>
    </row>
    <row r="182" ht="15.75" customHeight="1">
      <c r="A182" s="17" t="s">
        <v>331</v>
      </c>
      <c r="B182" s="17" t="s">
        <v>8</v>
      </c>
      <c r="C182" s="17" t="s">
        <v>167</v>
      </c>
      <c r="D182" s="17" t="s">
        <v>168</v>
      </c>
      <c r="E182" s="17" t="s">
        <v>169</v>
      </c>
      <c r="F182" s="17" t="str">
        <f t="array" ref="F182">IFERROR(INDEX(PL4_TONG_HOP!$I$2:$I$5000,MATCH($C182,PL4_TONG_HOP!$A$2:$A$5000,0)),"")</f>
        <v/>
      </c>
      <c r="G182" s="17">
        <f>COUNTIFS(FILE_UPLOADS!$B:$B,$A182,FILE_UPLOADS!$D:$D,$C182)</f>
        <v>0</v>
      </c>
      <c r="H182" s="17" t="str">
        <f t="shared" si="1"/>
        <v/>
      </c>
    </row>
    <row r="183" ht="15.75" customHeight="1">
      <c r="A183" s="17" t="s">
        <v>331</v>
      </c>
      <c r="B183" s="17" t="s">
        <v>8</v>
      </c>
      <c r="C183" s="17" t="s">
        <v>173</v>
      </c>
      <c r="D183" s="17" t="s">
        <v>174</v>
      </c>
      <c r="E183" s="17" t="s">
        <v>175</v>
      </c>
      <c r="F183" s="17" t="str">
        <f t="array" ref="F183">IFERROR(INDEX(PL4_TONG_HOP!$I$2:$I$5000,MATCH($C183,PL4_TONG_HOP!$A$2:$A$5000,0)),"")</f>
        <v/>
      </c>
      <c r="G183" s="17">
        <f>COUNTIFS(FILE_UPLOADS!$B:$B,$A183,FILE_UPLOADS!$D:$D,$C183)</f>
        <v>0</v>
      </c>
      <c r="H183" s="17" t="str">
        <f t="shared" si="1"/>
        <v/>
      </c>
    </row>
    <row r="184" ht="15.75" customHeight="1">
      <c r="A184" s="17" t="s">
        <v>331</v>
      </c>
      <c r="B184" s="17" t="s">
        <v>8</v>
      </c>
      <c r="C184" s="17" t="s">
        <v>176</v>
      </c>
      <c r="D184" s="17" t="s">
        <v>177</v>
      </c>
      <c r="E184" s="17" t="s">
        <v>178</v>
      </c>
      <c r="F184" s="17" t="str">
        <f t="array" ref="F184">IFERROR(INDEX(PL4_TONG_HOP!$I$2:$I$5000,MATCH($C184,PL4_TONG_HOP!$A$2:$A$5000,0)),"")</f>
        <v/>
      </c>
      <c r="G184" s="17">
        <f>COUNTIFS(FILE_UPLOADS!$B:$B,$A184,FILE_UPLOADS!$D:$D,$C184)</f>
        <v>0</v>
      </c>
      <c r="H184" s="17" t="str">
        <f t="shared" si="1"/>
        <v/>
      </c>
    </row>
    <row r="185" ht="15.75" customHeight="1">
      <c r="A185" s="17" t="s">
        <v>331</v>
      </c>
      <c r="B185" s="17" t="s">
        <v>8</v>
      </c>
      <c r="C185" s="17" t="s">
        <v>212</v>
      </c>
      <c r="D185" s="17" t="s">
        <v>213</v>
      </c>
      <c r="E185" s="17" t="s">
        <v>214</v>
      </c>
      <c r="F185" s="17" t="str">
        <f t="array" ref="F185">IFERROR(INDEX(PL4_TONG_HOP!$I$2:$I$5000,MATCH($C185,PL4_TONG_HOP!$A$2:$A$5000,0)),"")</f>
        <v/>
      </c>
      <c r="G185" s="17">
        <f>COUNTIFS(FILE_UPLOADS!$B:$B,$A185,FILE_UPLOADS!$D:$D,$C185)</f>
        <v>0</v>
      </c>
      <c r="H185" s="17" t="str">
        <f t="shared" si="1"/>
        <v/>
      </c>
    </row>
    <row r="186" ht="15.75" customHeight="1">
      <c r="A186" s="17" t="s">
        <v>331</v>
      </c>
      <c r="B186" s="17" t="s">
        <v>8</v>
      </c>
      <c r="C186" s="17" t="s">
        <v>215</v>
      </c>
      <c r="D186" s="17" t="s">
        <v>216</v>
      </c>
      <c r="E186" s="17" t="s">
        <v>217</v>
      </c>
      <c r="F186" s="17" t="str">
        <f t="array" ref="F186">IFERROR(INDEX(PL4_TONG_HOP!$I$2:$I$5000,MATCH($C186,PL4_TONG_HOP!$A$2:$A$5000,0)),"")</f>
        <v/>
      </c>
      <c r="G186" s="17">
        <f>COUNTIFS(FILE_UPLOADS!$B:$B,$A186,FILE_UPLOADS!$D:$D,$C186)</f>
        <v>0</v>
      </c>
      <c r="H186" s="17" t="str">
        <f t="shared" si="1"/>
        <v/>
      </c>
    </row>
    <row r="187" ht="15.75" customHeight="1">
      <c r="A187" s="17" t="s">
        <v>331</v>
      </c>
      <c r="B187" s="17" t="s">
        <v>8</v>
      </c>
      <c r="C187" s="17" t="s">
        <v>227</v>
      </c>
      <c r="D187" s="17" t="s">
        <v>228</v>
      </c>
      <c r="E187" s="17" t="s">
        <v>229</v>
      </c>
      <c r="F187" s="17" t="str">
        <f t="array" ref="F187">IFERROR(INDEX(PL4_TONG_HOP!$I$2:$I$5000,MATCH($C187,PL4_TONG_HOP!$A$2:$A$5000,0)),"")</f>
        <v/>
      </c>
      <c r="G187" s="17">
        <f>COUNTIFS(FILE_UPLOADS!$B:$B,$A187,FILE_UPLOADS!$D:$D,$C187)</f>
        <v>0</v>
      </c>
      <c r="H187" s="17" t="str">
        <f t="shared" si="1"/>
        <v/>
      </c>
    </row>
    <row r="188" ht="15.75" customHeight="1">
      <c r="A188" s="17" t="s">
        <v>331</v>
      </c>
      <c r="B188" s="17" t="s">
        <v>8</v>
      </c>
      <c r="C188" s="17" t="s">
        <v>230</v>
      </c>
      <c r="D188" s="17" t="s">
        <v>231</v>
      </c>
      <c r="E188" s="17" t="s">
        <v>232</v>
      </c>
      <c r="F188" s="17" t="str">
        <f t="array" ref="F188">IFERROR(INDEX(PL4_TONG_HOP!$I$2:$I$5000,MATCH($C188,PL4_TONG_HOP!$A$2:$A$5000,0)),"")</f>
        <v/>
      </c>
      <c r="G188" s="17">
        <f>COUNTIFS(FILE_UPLOADS!$B:$B,$A188,FILE_UPLOADS!$D:$D,$C188)</f>
        <v>0</v>
      </c>
      <c r="H188" s="17" t="str">
        <f t="shared" si="1"/>
        <v/>
      </c>
    </row>
    <row r="189" ht="15.75" customHeight="1">
      <c r="A189" s="17" t="s">
        <v>331</v>
      </c>
      <c r="B189" s="17" t="s">
        <v>8</v>
      </c>
      <c r="C189" s="17" t="s">
        <v>236</v>
      </c>
      <c r="D189" s="17" t="s">
        <v>237</v>
      </c>
      <c r="E189" s="17" t="s">
        <v>238</v>
      </c>
      <c r="F189" s="17" t="str">
        <f t="array" ref="F189">IFERROR(INDEX(PL4_TONG_HOP!$I$2:$I$5000,MATCH($C189,PL4_TONG_HOP!$A$2:$A$5000,0)),"")</f>
        <v/>
      </c>
      <c r="G189" s="17">
        <f>COUNTIFS(FILE_UPLOADS!$B:$B,$A189,FILE_UPLOADS!$D:$D,$C189)</f>
        <v>0</v>
      </c>
      <c r="H189" s="17" t="str">
        <f t="shared" si="1"/>
        <v/>
      </c>
    </row>
    <row r="190" ht="15.75" customHeight="1">
      <c r="A190" s="17" t="s">
        <v>331</v>
      </c>
      <c r="B190" s="17" t="s">
        <v>8</v>
      </c>
      <c r="C190" s="17" t="s">
        <v>239</v>
      </c>
      <c r="D190" s="17" t="s">
        <v>240</v>
      </c>
      <c r="E190" s="17" t="s">
        <v>241</v>
      </c>
      <c r="F190" s="17" t="str">
        <f t="array" ref="F190">IFERROR(INDEX(PL4_TONG_HOP!$I$2:$I$5000,MATCH($C190,PL4_TONG_HOP!$A$2:$A$5000,0)),"")</f>
        <v/>
      </c>
      <c r="G190" s="17">
        <f>COUNTIFS(FILE_UPLOADS!$B:$B,$A190,FILE_UPLOADS!$D:$D,$C190)</f>
        <v>0</v>
      </c>
      <c r="H190" s="17" t="str">
        <f t="shared" si="1"/>
        <v/>
      </c>
    </row>
    <row r="191" ht="15.75" customHeight="1">
      <c r="A191" s="17" t="s">
        <v>331</v>
      </c>
      <c r="B191" s="17" t="s">
        <v>8</v>
      </c>
      <c r="C191" s="17" t="s">
        <v>242</v>
      </c>
      <c r="D191" s="17" t="s">
        <v>243</v>
      </c>
      <c r="E191" s="17" t="s">
        <v>244</v>
      </c>
      <c r="F191" s="17" t="str">
        <f t="array" ref="F191">IFERROR(INDEX(PL4_TONG_HOP!$I$2:$I$5000,MATCH($C191,PL4_TONG_HOP!$A$2:$A$5000,0)),"")</f>
        <v/>
      </c>
      <c r="G191" s="17">
        <f>COUNTIFS(FILE_UPLOADS!$B:$B,$A191,FILE_UPLOADS!$D:$D,$C191)</f>
        <v>0</v>
      </c>
      <c r="H191" s="17" t="str">
        <f t="shared" si="1"/>
        <v/>
      </c>
    </row>
    <row r="192" ht="15.75" customHeight="1">
      <c r="A192" s="17" t="s">
        <v>331</v>
      </c>
      <c r="B192" s="17" t="s">
        <v>8</v>
      </c>
      <c r="C192" s="17" t="s">
        <v>248</v>
      </c>
      <c r="D192" s="17" t="s">
        <v>249</v>
      </c>
      <c r="E192" s="17" t="s">
        <v>250</v>
      </c>
      <c r="F192" s="17" t="str">
        <f t="array" ref="F192">IFERROR(INDEX(PL4_TONG_HOP!$I$2:$I$5000,MATCH($C192,PL4_TONG_HOP!$A$2:$A$5000,0)),"")</f>
        <v/>
      </c>
      <c r="G192" s="17">
        <f>COUNTIFS(FILE_UPLOADS!$B:$B,$A192,FILE_UPLOADS!$D:$D,$C192)</f>
        <v>0</v>
      </c>
      <c r="H192" s="17" t="str">
        <f t="shared" si="1"/>
        <v/>
      </c>
    </row>
    <row r="193" ht="15.75" customHeight="1">
      <c r="A193" s="17" t="s">
        <v>331</v>
      </c>
      <c r="B193" s="17" t="s">
        <v>8</v>
      </c>
      <c r="C193" s="17" t="s">
        <v>251</v>
      </c>
      <c r="D193" s="17" t="s">
        <v>252</v>
      </c>
      <c r="E193" s="17" t="s">
        <v>253</v>
      </c>
      <c r="F193" s="17" t="str">
        <f t="array" ref="F193">IFERROR(INDEX(PL4_TONG_HOP!$I$2:$I$5000,MATCH($C193,PL4_TONG_HOP!$A$2:$A$5000,0)),"")</f>
        <v/>
      </c>
      <c r="G193" s="17">
        <f>COUNTIFS(FILE_UPLOADS!$B:$B,$A193,FILE_UPLOADS!$D:$D,$C193)</f>
        <v>0</v>
      </c>
      <c r="H193" s="17" t="str">
        <f t="shared" si="1"/>
        <v/>
      </c>
    </row>
    <row r="194" ht="15.75" customHeight="1">
      <c r="A194" s="17" t="s">
        <v>331</v>
      </c>
      <c r="B194" s="17" t="s">
        <v>8</v>
      </c>
      <c r="C194" s="17" t="s">
        <v>254</v>
      </c>
      <c r="D194" s="17" t="s">
        <v>255</v>
      </c>
      <c r="E194" s="17" t="s">
        <v>256</v>
      </c>
      <c r="F194" s="17" t="str">
        <f t="array" ref="F194">IFERROR(INDEX(PL4_TONG_HOP!$I$2:$I$5000,MATCH($C194,PL4_TONG_HOP!$A$2:$A$5000,0)),"")</f>
        <v/>
      </c>
      <c r="G194" s="17">
        <f>COUNTIFS(FILE_UPLOADS!$B:$B,$A194,FILE_UPLOADS!$D:$D,$C194)</f>
        <v>0</v>
      </c>
      <c r="H194" s="17" t="str">
        <f t="shared" si="1"/>
        <v/>
      </c>
    </row>
    <row r="195" ht="15.75" customHeight="1">
      <c r="A195" s="17" t="s">
        <v>331</v>
      </c>
      <c r="B195" s="17" t="s">
        <v>8</v>
      </c>
      <c r="C195" s="17" t="s">
        <v>260</v>
      </c>
      <c r="D195" s="17" t="s">
        <v>261</v>
      </c>
      <c r="E195" s="17" t="s">
        <v>262</v>
      </c>
      <c r="F195" s="17" t="str">
        <f t="array" ref="F195">IFERROR(INDEX(PL4_TONG_HOP!$I$2:$I$5000,MATCH($C195,PL4_TONG_HOP!$A$2:$A$5000,0)),"")</f>
        <v/>
      </c>
      <c r="G195" s="17">
        <f>COUNTIFS(FILE_UPLOADS!$B:$B,$A195,FILE_UPLOADS!$D:$D,$C195)</f>
        <v>0</v>
      </c>
      <c r="H195" s="17" t="str">
        <f t="shared" si="1"/>
        <v/>
      </c>
    </row>
    <row r="196" ht="15.75" customHeight="1">
      <c r="A196" s="17" t="s">
        <v>331</v>
      </c>
      <c r="B196" s="17" t="s">
        <v>8</v>
      </c>
      <c r="C196" s="17" t="s">
        <v>263</v>
      </c>
      <c r="D196" s="17" t="s">
        <v>264</v>
      </c>
      <c r="E196" s="17" t="s">
        <v>265</v>
      </c>
      <c r="F196" s="17" t="str">
        <f t="array" ref="F196">IFERROR(INDEX(PL4_TONG_HOP!$I$2:$I$5000,MATCH($C196,PL4_TONG_HOP!$A$2:$A$5000,0)),"")</f>
        <v/>
      </c>
      <c r="G196" s="17">
        <f>COUNTIFS(FILE_UPLOADS!$B:$B,$A196,FILE_UPLOADS!$D:$D,$C196)</f>
        <v>0</v>
      </c>
      <c r="H196" s="17" t="str">
        <f t="shared" si="1"/>
        <v/>
      </c>
    </row>
    <row r="197" ht="15.75" customHeight="1">
      <c r="A197" s="17" t="s">
        <v>331</v>
      </c>
      <c r="B197" s="17" t="s">
        <v>8</v>
      </c>
      <c r="C197" s="17" t="s">
        <v>266</v>
      </c>
      <c r="D197" s="17" t="s">
        <v>267</v>
      </c>
      <c r="E197" s="17" t="s">
        <v>268</v>
      </c>
      <c r="F197" s="17" t="str">
        <f t="array" ref="F197">IFERROR(INDEX(PL4_TONG_HOP!$I$2:$I$5000,MATCH($C197,PL4_TONG_HOP!$A$2:$A$5000,0)),"")</f>
        <v/>
      </c>
      <c r="G197" s="17">
        <f>COUNTIFS(FILE_UPLOADS!$B:$B,$A197,FILE_UPLOADS!$D:$D,$C197)</f>
        <v>0</v>
      </c>
      <c r="H197" s="17" t="str">
        <f t="shared" si="1"/>
        <v/>
      </c>
    </row>
    <row r="198" ht="15.75" customHeight="1">
      <c r="A198" s="17" t="s">
        <v>331</v>
      </c>
      <c r="B198" s="17" t="s">
        <v>8</v>
      </c>
      <c r="C198" s="17" t="s">
        <v>269</v>
      </c>
      <c r="D198" s="17" t="s">
        <v>270</v>
      </c>
      <c r="E198" s="17" t="s">
        <v>271</v>
      </c>
      <c r="F198" s="17" t="str">
        <f t="array" ref="F198">IFERROR(INDEX(PL4_TONG_HOP!$I$2:$I$5000,MATCH($C198,PL4_TONG_HOP!$A$2:$A$5000,0)),"")</f>
        <v/>
      </c>
      <c r="G198" s="17">
        <f>COUNTIFS(FILE_UPLOADS!$B:$B,$A198,FILE_UPLOADS!$D:$D,$C198)</f>
        <v>0</v>
      </c>
      <c r="H198" s="17" t="str">
        <f t="shared" si="1"/>
        <v/>
      </c>
    </row>
    <row r="199" ht="15.75" customHeight="1">
      <c r="A199" s="17" t="s">
        <v>331</v>
      </c>
      <c r="B199" s="17" t="s">
        <v>8</v>
      </c>
      <c r="C199" s="17" t="s">
        <v>272</v>
      </c>
      <c r="D199" s="17" t="s">
        <v>273</v>
      </c>
      <c r="E199" s="17" t="s">
        <v>274</v>
      </c>
      <c r="F199" s="17" t="str">
        <f t="array" ref="F199">IFERROR(INDEX(PL4_TONG_HOP!$I$2:$I$5000,MATCH($C199,PL4_TONG_HOP!$A$2:$A$5000,0)),"")</f>
        <v/>
      </c>
      <c r="G199" s="17">
        <f>COUNTIFS(FILE_UPLOADS!$B:$B,$A199,FILE_UPLOADS!$D:$D,$C199)</f>
        <v>0</v>
      </c>
      <c r="H199" s="17" t="str">
        <f t="shared" si="1"/>
        <v/>
      </c>
    </row>
    <row r="200" ht="15.75" customHeight="1">
      <c r="A200" s="17" t="s">
        <v>331</v>
      </c>
      <c r="B200" s="17" t="s">
        <v>8</v>
      </c>
      <c r="C200" s="17" t="s">
        <v>275</v>
      </c>
      <c r="D200" s="17" t="s">
        <v>276</v>
      </c>
      <c r="E200" s="17" t="s">
        <v>277</v>
      </c>
      <c r="F200" s="17" t="str">
        <f t="array" ref="F200">IFERROR(INDEX(PL4_TONG_HOP!$I$2:$I$5000,MATCH($C200,PL4_TONG_HOP!$A$2:$A$5000,0)),"")</f>
        <v/>
      </c>
      <c r="G200" s="17">
        <f>COUNTIFS(FILE_UPLOADS!$B:$B,$A200,FILE_UPLOADS!$D:$D,$C200)</f>
        <v>0</v>
      </c>
      <c r="H200" s="17" t="str">
        <f t="shared" si="1"/>
        <v/>
      </c>
    </row>
    <row r="201" ht="15.75" customHeight="1">
      <c r="A201" s="17" t="s">
        <v>331</v>
      </c>
      <c r="B201" s="17" t="s">
        <v>8</v>
      </c>
      <c r="C201" s="17" t="s">
        <v>278</v>
      </c>
      <c r="D201" s="17" t="s">
        <v>279</v>
      </c>
      <c r="E201" s="17" t="s">
        <v>280</v>
      </c>
      <c r="F201" s="17" t="str">
        <f t="array" ref="F201">IFERROR(INDEX(PL4_TONG_HOP!$I$2:$I$5000,MATCH($C201,PL4_TONG_HOP!$A$2:$A$5000,0)),"")</f>
        <v/>
      </c>
      <c r="G201" s="17">
        <f>COUNTIFS(FILE_UPLOADS!$B:$B,$A201,FILE_UPLOADS!$D:$D,$C201)</f>
        <v>0</v>
      </c>
      <c r="H201" s="17" t="str">
        <f t="shared" si="1"/>
        <v/>
      </c>
    </row>
    <row r="202" ht="15.75" customHeight="1">
      <c r="A202" s="17" t="s">
        <v>331</v>
      </c>
      <c r="B202" s="17" t="s">
        <v>8</v>
      </c>
      <c r="C202" s="17" t="s">
        <v>281</v>
      </c>
      <c r="D202" s="17" t="s">
        <v>282</v>
      </c>
      <c r="E202" s="17" t="s">
        <v>283</v>
      </c>
      <c r="F202" s="17" t="str">
        <f t="array" ref="F202">IFERROR(INDEX(PL4_TONG_HOP!$I$2:$I$5000,MATCH($C202,PL4_TONG_HOP!$A$2:$A$5000,0)),"")</f>
        <v/>
      </c>
      <c r="G202" s="17">
        <f>COUNTIFS(FILE_UPLOADS!$B:$B,$A202,FILE_UPLOADS!$D:$D,$C202)</f>
        <v>0</v>
      </c>
      <c r="H202" s="17" t="str">
        <f t="shared" si="1"/>
        <v/>
      </c>
    </row>
    <row r="203" ht="15.75" customHeight="1">
      <c r="A203" s="17" t="s">
        <v>331</v>
      </c>
      <c r="B203" s="17" t="s">
        <v>8</v>
      </c>
      <c r="C203" s="17" t="s">
        <v>290</v>
      </c>
      <c r="D203" s="17" t="s">
        <v>291</v>
      </c>
      <c r="E203" s="17" t="s">
        <v>292</v>
      </c>
      <c r="F203" s="17" t="str">
        <f t="array" ref="F203">IFERROR(INDEX(PL4_TONG_HOP!$I$2:$I$5000,MATCH($C203,PL4_TONG_HOP!$A$2:$A$5000,0)),"")</f>
        <v/>
      </c>
      <c r="G203" s="17">
        <f>COUNTIFS(FILE_UPLOADS!$B:$B,$A203,FILE_UPLOADS!$D:$D,$C203)</f>
        <v>0</v>
      </c>
      <c r="H203" s="17" t="str">
        <f t="shared" si="1"/>
        <v/>
      </c>
    </row>
    <row r="204" ht="15.75" customHeight="1">
      <c r="A204" s="17" t="s">
        <v>331</v>
      </c>
      <c r="B204" s="17" t="s">
        <v>8</v>
      </c>
      <c r="C204" s="17" t="s">
        <v>293</v>
      </c>
      <c r="D204" s="17" t="s">
        <v>294</v>
      </c>
      <c r="E204" s="17" t="s">
        <v>295</v>
      </c>
      <c r="F204" s="17" t="str">
        <f t="array" ref="F204">IFERROR(INDEX(PL4_TONG_HOP!$I$2:$I$5000,MATCH($C204,PL4_TONG_HOP!$A$2:$A$5000,0)),"")</f>
        <v/>
      </c>
      <c r="G204" s="17">
        <f>COUNTIFS(FILE_UPLOADS!$B:$B,$A204,FILE_UPLOADS!$D:$D,$C204)</f>
        <v>0</v>
      </c>
      <c r="H204" s="17" t="str">
        <f t="shared" si="1"/>
        <v/>
      </c>
    </row>
    <row r="205" ht="15.75" customHeight="1">
      <c r="A205" s="17" t="s">
        <v>331</v>
      </c>
      <c r="B205" s="17" t="s">
        <v>8</v>
      </c>
      <c r="C205" s="17" t="s">
        <v>299</v>
      </c>
      <c r="D205" s="17" t="s">
        <v>300</v>
      </c>
      <c r="E205" s="17" t="s">
        <v>301</v>
      </c>
      <c r="F205" s="17" t="str">
        <f t="array" ref="F205">IFERROR(INDEX(PL4_TONG_HOP!$I$2:$I$5000,MATCH($C205,PL4_TONG_HOP!$A$2:$A$5000,0)),"")</f>
        <v/>
      </c>
      <c r="G205" s="17">
        <f>COUNTIFS(FILE_UPLOADS!$B:$B,$A205,FILE_UPLOADS!$D:$D,$C205)</f>
        <v>0</v>
      </c>
      <c r="H205" s="17" t="str">
        <f t="shared" si="1"/>
        <v/>
      </c>
    </row>
    <row r="206" ht="15.75" customHeight="1">
      <c r="A206" s="17" t="s">
        <v>331</v>
      </c>
      <c r="B206" s="17" t="s">
        <v>8</v>
      </c>
      <c r="C206" s="17" t="s">
        <v>302</v>
      </c>
      <c r="D206" s="17" t="s">
        <v>303</v>
      </c>
      <c r="E206" s="17" t="s">
        <v>304</v>
      </c>
      <c r="F206" s="17" t="str">
        <f t="array" ref="F206">IFERROR(INDEX(PL4_TONG_HOP!$I$2:$I$5000,MATCH($C206,PL4_TONG_HOP!$A$2:$A$5000,0)),"")</f>
        <v/>
      </c>
      <c r="G206" s="17">
        <f>COUNTIFS(FILE_UPLOADS!$B:$B,$A206,FILE_UPLOADS!$D:$D,$C206)</f>
        <v>0</v>
      </c>
      <c r="H206" s="17" t="str">
        <f t="shared" si="1"/>
        <v/>
      </c>
    </row>
    <row r="207" ht="15.75" customHeight="1">
      <c r="A207" s="17" t="s">
        <v>331</v>
      </c>
      <c r="B207" s="17" t="s">
        <v>8</v>
      </c>
      <c r="C207" s="17" t="s">
        <v>308</v>
      </c>
      <c r="D207" s="17" t="s">
        <v>309</v>
      </c>
      <c r="E207" s="17" t="s">
        <v>310</v>
      </c>
      <c r="F207" s="17" t="str">
        <f t="array" ref="F207">IFERROR(INDEX(PL4_TONG_HOP!$I$2:$I$5000,MATCH($C207,PL4_TONG_HOP!$A$2:$A$5000,0)),"")</f>
        <v/>
      </c>
      <c r="G207" s="17">
        <f>COUNTIFS(FILE_UPLOADS!$B:$B,$A207,FILE_UPLOADS!$D:$D,$C207)</f>
        <v>0</v>
      </c>
      <c r="H207" s="17" t="str">
        <f t="shared" si="1"/>
        <v/>
      </c>
    </row>
    <row r="208" ht="15.75" customHeight="1">
      <c r="A208" s="17" t="s">
        <v>331</v>
      </c>
      <c r="B208" s="17" t="s">
        <v>8</v>
      </c>
      <c r="C208" s="17" t="s">
        <v>311</v>
      </c>
      <c r="D208" s="17" t="s">
        <v>312</v>
      </c>
      <c r="E208" s="17" t="s">
        <v>313</v>
      </c>
      <c r="F208" s="17" t="str">
        <f t="array" ref="F208">IFERROR(INDEX(PL4_TONG_HOP!$I$2:$I$5000,MATCH($C208,PL4_TONG_HOP!$A$2:$A$5000,0)),"")</f>
        <v/>
      </c>
      <c r="G208" s="17">
        <f>COUNTIFS(FILE_UPLOADS!$B:$B,$A208,FILE_UPLOADS!$D:$D,$C208)</f>
        <v>0</v>
      </c>
      <c r="H208" s="17" t="str">
        <f t="shared" si="1"/>
        <v/>
      </c>
    </row>
    <row r="209" ht="15.75" customHeight="1">
      <c r="A209" s="17" t="s">
        <v>331</v>
      </c>
      <c r="B209" s="17" t="s">
        <v>8</v>
      </c>
      <c r="C209" s="17" t="s">
        <v>314</v>
      </c>
      <c r="D209" s="17" t="s">
        <v>315</v>
      </c>
      <c r="E209" s="17" t="s">
        <v>316</v>
      </c>
      <c r="F209" s="17" t="str">
        <f t="array" ref="F209">IFERROR(INDEX(PL4_TONG_HOP!$I$2:$I$5000,MATCH($C209,PL4_TONG_HOP!$A$2:$A$5000,0)),"")</f>
        <v/>
      </c>
      <c r="G209" s="17">
        <f>COUNTIFS(FILE_UPLOADS!$B:$B,$A209,FILE_UPLOADS!$D:$D,$C209)</f>
        <v>0</v>
      </c>
      <c r="H209" s="17" t="str">
        <f t="shared" si="1"/>
        <v/>
      </c>
    </row>
    <row r="210" ht="15.75" customHeight="1">
      <c r="A210" s="17" t="s">
        <v>332</v>
      </c>
      <c r="B210" s="17" t="s">
        <v>9</v>
      </c>
      <c r="C210" s="17" t="s">
        <v>46</v>
      </c>
      <c r="D210" s="17" t="s">
        <v>47</v>
      </c>
      <c r="E210" s="17" t="s">
        <v>48</v>
      </c>
      <c r="F210" s="17" t="str">
        <f t="array" ref="F210">IFERROR(INDEX(PL4_TONG_HOP!$J$2:$J$5000,MATCH($C210,PL4_TONG_HOP!$A$2:$A$5000,0)),"")</f>
        <v/>
      </c>
      <c r="G210" s="17">
        <f>COUNTIFS(FILE_UPLOADS!$B:$B,$A210,FILE_UPLOADS!$D:$D,$C210)</f>
        <v>0</v>
      </c>
      <c r="H210" s="17" t="str">
        <f t="shared" si="1"/>
        <v/>
      </c>
    </row>
    <row r="211" ht="15.75" customHeight="1">
      <c r="A211" s="17" t="s">
        <v>332</v>
      </c>
      <c r="B211" s="17" t="s">
        <v>9</v>
      </c>
      <c r="C211" s="17" t="s">
        <v>78</v>
      </c>
      <c r="D211" s="17" t="s">
        <v>79</v>
      </c>
      <c r="E211" s="17" t="s">
        <v>80</v>
      </c>
      <c r="F211" s="17" t="str">
        <f t="array" ref="F211">IFERROR(INDEX(PL4_TONG_HOP!$J$2:$J$5000,MATCH($C211,PL4_TONG_HOP!$A$2:$A$5000,0)),"")</f>
        <v/>
      </c>
      <c r="G211" s="17">
        <f>COUNTIFS(FILE_UPLOADS!$B:$B,$A211,FILE_UPLOADS!$D:$D,$C211)</f>
        <v>0</v>
      </c>
      <c r="H211" s="17" t="str">
        <f t="shared" si="1"/>
        <v/>
      </c>
    </row>
    <row r="212" ht="15.75" customHeight="1">
      <c r="A212" s="17" t="s">
        <v>332</v>
      </c>
      <c r="B212" s="17" t="s">
        <v>9</v>
      </c>
      <c r="C212" s="17" t="s">
        <v>81</v>
      </c>
      <c r="D212" s="17" t="s">
        <v>82</v>
      </c>
      <c r="E212" s="17" t="s">
        <v>83</v>
      </c>
      <c r="F212" s="17" t="str">
        <f t="array" ref="F212">IFERROR(INDEX(PL4_TONG_HOP!$J$2:$J$5000,MATCH($C212,PL4_TONG_HOP!$A$2:$A$5000,0)),"")</f>
        <v/>
      </c>
      <c r="G212" s="17">
        <f>COUNTIFS(FILE_UPLOADS!$B:$B,$A212,FILE_UPLOADS!$D:$D,$C212)</f>
        <v>0</v>
      </c>
      <c r="H212" s="17" t="str">
        <f t="shared" si="1"/>
        <v/>
      </c>
    </row>
    <row r="213" ht="15.75" customHeight="1">
      <c r="A213" s="17" t="s">
        <v>332</v>
      </c>
      <c r="B213" s="17" t="s">
        <v>9</v>
      </c>
      <c r="C213" s="17" t="s">
        <v>87</v>
      </c>
      <c r="D213" s="17" t="s">
        <v>88</v>
      </c>
      <c r="E213" s="17" t="s">
        <v>89</v>
      </c>
      <c r="F213" s="17" t="str">
        <f t="array" ref="F213">IFERROR(INDEX(PL4_TONG_HOP!$J$2:$J$5000,MATCH($C213,PL4_TONG_HOP!$A$2:$A$5000,0)),"")</f>
        <v/>
      </c>
      <c r="G213" s="17">
        <f>COUNTIFS(FILE_UPLOADS!$B:$B,$A213,FILE_UPLOADS!$D:$D,$C213)</f>
        <v>0</v>
      </c>
      <c r="H213" s="17" t="str">
        <f t="shared" si="1"/>
        <v/>
      </c>
    </row>
    <row r="214" ht="15.75" customHeight="1">
      <c r="A214" s="17" t="s">
        <v>332</v>
      </c>
      <c r="B214" s="17" t="s">
        <v>9</v>
      </c>
      <c r="C214" s="17" t="s">
        <v>90</v>
      </c>
      <c r="D214" s="17" t="s">
        <v>91</v>
      </c>
      <c r="E214" s="17" t="s">
        <v>92</v>
      </c>
      <c r="F214" s="17" t="str">
        <f t="array" ref="F214">IFERROR(INDEX(PL4_TONG_HOP!$J$2:$J$5000,MATCH($C214,PL4_TONG_HOP!$A$2:$A$5000,0)),"")</f>
        <v/>
      </c>
      <c r="G214" s="17">
        <f>COUNTIFS(FILE_UPLOADS!$B:$B,$A214,FILE_UPLOADS!$D:$D,$C214)</f>
        <v>0</v>
      </c>
      <c r="H214" s="17" t="str">
        <f t="shared" si="1"/>
        <v/>
      </c>
    </row>
    <row r="215" ht="15.75" customHeight="1">
      <c r="A215" s="17" t="s">
        <v>332</v>
      </c>
      <c r="B215" s="17" t="s">
        <v>9</v>
      </c>
      <c r="C215" s="17" t="s">
        <v>93</v>
      </c>
      <c r="D215" s="17" t="s">
        <v>85</v>
      </c>
      <c r="E215" s="17" t="s">
        <v>94</v>
      </c>
      <c r="F215" s="17" t="str">
        <f t="array" ref="F215">IFERROR(INDEX(PL4_TONG_HOP!$J$2:$J$5000,MATCH($C215,PL4_TONG_HOP!$A$2:$A$5000,0)),"")</f>
        <v/>
      </c>
      <c r="G215" s="17">
        <f>COUNTIFS(FILE_UPLOADS!$B:$B,$A215,FILE_UPLOADS!$D:$D,$C215)</f>
        <v>0</v>
      </c>
      <c r="H215" s="17" t="str">
        <f t="shared" si="1"/>
        <v/>
      </c>
    </row>
    <row r="216" ht="15.75" customHeight="1">
      <c r="A216" s="17" t="s">
        <v>332</v>
      </c>
      <c r="B216" s="17" t="s">
        <v>9</v>
      </c>
      <c r="C216" s="17" t="s">
        <v>95</v>
      </c>
      <c r="D216" s="17" t="s">
        <v>96</v>
      </c>
      <c r="E216" s="17" t="s">
        <v>97</v>
      </c>
      <c r="F216" s="17" t="str">
        <f t="array" ref="F216">IFERROR(INDEX(PL4_TONG_HOP!$J$2:$J$5000,MATCH($C216,PL4_TONG_HOP!$A$2:$A$5000,0)),"")</f>
        <v/>
      </c>
      <c r="G216" s="17">
        <f>COUNTIFS(FILE_UPLOADS!$B:$B,$A216,FILE_UPLOADS!$D:$D,$C216)</f>
        <v>0</v>
      </c>
      <c r="H216" s="17" t="str">
        <f t="shared" si="1"/>
        <v/>
      </c>
    </row>
    <row r="217" ht="15.75" customHeight="1">
      <c r="A217" s="17" t="s">
        <v>332</v>
      </c>
      <c r="B217" s="17" t="s">
        <v>9</v>
      </c>
      <c r="C217" s="17" t="s">
        <v>98</v>
      </c>
      <c r="D217" s="17" t="s">
        <v>99</v>
      </c>
      <c r="E217" s="17" t="s">
        <v>100</v>
      </c>
      <c r="F217" s="17" t="str">
        <f t="array" ref="F217">IFERROR(INDEX(PL4_TONG_HOP!$J$2:$J$5000,MATCH($C217,PL4_TONG_HOP!$A$2:$A$5000,0)),"")</f>
        <v/>
      </c>
      <c r="G217" s="17">
        <f>COUNTIFS(FILE_UPLOADS!$B:$B,$A217,FILE_UPLOADS!$D:$D,$C217)</f>
        <v>0</v>
      </c>
      <c r="H217" s="17" t="str">
        <f t="shared" si="1"/>
        <v/>
      </c>
    </row>
    <row r="218" ht="15.75" customHeight="1">
      <c r="A218" s="17" t="s">
        <v>332</v>
      </c>
      <c r="B218" s="17" t="s">
        <v>9</v>
      </c>
      <c r="C218" s="17" t="s">
        <v>101</v>
      </c>
      <c r="D218" s="17" t="s">
        <v>102</v>
      </c>
      <c r="E218" s="17" t="s">
        <v>103</v>
      </c>
      <c r="F218" s="17" t="str">
        <f t="array" ref="F218">IFERROR(INDEX(PL4_TONG_HOP!$J$2:$J$5000,MATCH($C218,PL4_TONG_HOP!$A$2:$A$5000,0)),"")</f>
        <v/>
      </c>
      <c r="G218" s="17">
        <f>COUNTIFS(FILE_UPLOADS!$B:$B,$A218,FILE_UPLOADS!$D:$D,$C218)</f>
        <v>0</v>
      </c>
      <c r="H218" s="17" t="str">
        <f t="shared" si="1"/>
        <v/>
      </c>
    </row>
    <row r="219" ht="15.75" customHeight="1">
      <c r="A219" s="17" t="s">
        <v>332</v>
      </c>
      <c r="B219" s="17" t="s">
        <v>9</v>
      </c>
      <c r="C219" s="17" t="s">
        <v>113</v>
      </c>
      <c r="D219" s="17" t="s">
        <v>114</v>
      </c>
      <c r="E219" s="17" t="s">
        <v>115</v>
      </c>
      <c r="F219" s="17" t="str">
        <f t="array" ref="F219">IFERROR(INDEX(PL4_TONG_HOP!$J$2:$J$5000,MATCH($C219,PL4_TONG_HOP!$A$2:$A$5000,0)),"")</f>
        <v/>
      </c>
      <c r="G219" s="17">
        <f>COUNTIFS(FILE_UPLOADS!$B:$B,$A219,FILE_UPLOADS!$D:$D,$C219)</f>
        <v>0</v>
      </c>
      <c r="H219" s="17" t="str">
        <f t="shared" si="1"/>
        <v/>
      </c>
    </row>
    <row r="220" ht="15.75" customHeight="1">
      <c r="A220" s="17" t="s">
        <v>332</v>
      </c>
      <c r="B220" s="17" t="s">
        <v>9</v>
      </c>
      <c r="C220" s="17" t="s">
        <v>116</v>
      </c>
      <c r="D220" s="17" t="s">
        <v>117</v>
      </c>
      <c r="E220" s="17" t="s">
        <v>118</v>
      </c>
      <c r="F220" s="17" t="str">
        <f t="array" ref="F220">IFERROR(INDEX(PL4_TONG_HOP!$J$2:$J$5000,MATCH($C220,PL4_TONG_HOP!$A$2:$A$5000,0)),"")</f>
        <v/>
      </c>
      <c r="G220" s="17">
        <f>COUNTIFS(FILE_UPLOADS!$B:$B,$A220,FILE_UPLOADS!$D:$D,$C220)</f>
        <v>0</v>
      </c>
      <c r="H220" s="17" t="str">
        <f t="shared" si="1"/>
        <v/>
      </c>
    </row>
    <row r="221" ht="15.75" customHeight="1">
      <c r="A221" s="17" t="s">
        <v>332</v>
      </c>
      <c r="B221" s="17" t="s">
        <v>9</v>
      </c>
      <c r="C221" s="17" t="s">
        <v>119</v>
      </c>
      <c r="D221" s="17" t="s">
        <v>120</v>
      </c>
      <c r="E221" s="17" t="s">
        <v>121</v>
      </c>
      <c r="F221" s="17" t="str">
        <f t="array" ref="F221">IFERROR(INDEX(PL4_TONG_HOP!$J$2:$J$5000,MATCH($C221,PL4_TONG_HOP!$A$2:$A$5000,0)),"")</f>
        <v/>
      </c>
      <c r="G221" s="17">
        <f>COUNTIFS(FILE_UPLOADS!$B:$B,$A221,FILE_UPLOADS!$D:$D,$C221)</f>
        <v>0</v>
      </c>
      <c r="H221" s="17" t="str">
        <f t="shared" si="1"/>
        <v/>
      </c>
    </row>
    <row r="222" ht="15.75" customHeight="1">
      <c r="A222" s="17" t="s">
        <v>332</v>
      </c>
      <c r="B222" s="17" t="s">
        <v>9</v>
      </c>
      <c r="C222" s="17" t="s">
        <v>122</v>
      </c>
      <c r="D222" s="17" t="s">
        <v>123</v>
      </c>
      <c r="E222" s="17" t="s">
        <v>124</v>
      </c>
      <c r="F222" s="17" t="str">
        <f t="array" ref="F222">IFERROR(INDEX(PL4_TONG_HOP!$J$2:$J$5000,MATCH($C222,PL4_TONG_HOP!$A$2:$A$5000,0)),"")</f>
        <v/>
      </c>
      <c r="G222" s="17">
        <f>COUNTIFS(FILE_UPLOADS!$B:$B,$A222,FILE_UPLOADS!$D:$D,$C222)</f>
        <v>0</v>
      </c>
      <c r="H222" s="17" t="str">
        <f t="shared" si="1"/>
        <v/>
      </c>
    </row>
    <row r="223" ht="15.75" customHeight="1">
      <c r="A223" s="17" t="s">
        <v>332</v>
      </c>
      <c r="B223" s="17" t="s">
        <v>9</v>
      </c>
      <c r="C223" s="17" t="s">
        <v>125</v>
      </c>
      <c r="D223" s="17" t="s">
        <v>126</v>
      </c>
      <c r="E223" s="17" t="s">
        <v>127</v>
      </c>
      <c r="F223" s="17" t="str">
        <f t="array" ref="F223">IFERROR(INDEX(PL4_TONG_HOP!$J$2:$J$5000,MATCH($C223,PL4_TONG_HOP!$A$2:$A$5000,0)),"")</f>
        <v/>
      </c>
      <c r="G223" s="17">
        <f>COUNTIFS(FILE_UPLOADS!$B:$B,$A223,FILE_UPLOADS!$D:$D,$C223)</f>
        <v>0</v>
      </c>
      <c r="H223" s="17" t="str">
        <f t="shared" si="1"/>
        <v/>
      </c>
    </row>
    <row r="224" ht="15.75" customHeight="1">
      <c r="A224" s="17" t="s">
        <v>332</v>
      </c>
      <c r="B224" s="17" t="s">
        <v>9</v>
      </c>
      <c r="C224" s="17" t="s">
        <v>128</v>
      </c>
      <c r="D224" s="17" t="s">
        <v>129</v>
      </c>
      <c r="E224" s="17" t="s">
        <v>130</v>
      </c>
      <c r="F224" s="17" t="str">
        <f t="array" ref="F224">IFERROR(INDEX(PL4_TONG_HOP!$J$2:$J$5000,MATCH($C224,PL4_TONG_HOP!$A$2:$A$5000,0)),"")</f>
        <v/>
      </c>
      <c r="G224" s="17">
        <f>COUNTIFS(FILE_UPLOADS!$B:$B,$A224,FILE_UPLOADS!$D:$D,$C224)</f>
        <v>0</v>
      </c>
      <c r="H224" s="17" t="str">
        <f t="shared" si="1"/>
        <v/>
      </c>
    </row>
    <row r="225" ht="15.75" customHeight="1">
      <c r="A225" s="17" t="s">
        <v>332</v>
      </c>
      <c r="B225" s="17" t="s">
        <v>9</v>
      </c>
      <c r="C225" s="17" t="s">
        <v>131</v>
      </c>
      <c r="D225" s="17" t="s">
        <v>132</v>
      </c>
      <c r="E225" s="17" t="s">
        <v>133</v>
      </c>
      <c r="F225" s="17" t="str">
        <f t="array" ref="F225">IFERROR(INDEX(PL4_TONG_HOP!$J$2:$J$5000,MATCH($C225,PL4_TONG_HOP!$A$2:$A$5000,0)),"")</f>
        <v/>
      </c>
      <c r="G225" s="17">
        <f>COUNTIFS(FILE_UPLOADS!$B:$B,$A225,FILE_UPLOADS!$D:$D,$C225)</f>
        <v>0</v>
      </c>
      <c r="H225" s="17" t="str">
        <f t="shared" si="1"/>
        <v/>
      </c>
    </row>
    <row r="226" ht="15.75" customHeight="1">
      <c r="A226" s="17" t="s">
        <v>332</v>
      </c>
      <c r="B226" s="17" t="s">
        <v>9</v>
      </c>
      <c r="C226" s="17" t="s">
        <v>134</v>
      </c>
      <c r="D226" s="17" t="s">
        <v>135</v>
      </c>
      <c r="E226" s="17" t="s">
        <v>136</v>
      </c>
      <c r="F226" s="17" t="str">
        <f t="array" ref="F226">IFERROR(INDEX(PL4_TONG_HOP!$J$2:$J$5000,MATCH($C226,PL4_TONG_HOP!$A$2:$A$5000,0)),"")</f>
        <v/>
      </c>
      <c r="G226" s="17">
        <f>COUNTIFS(FILE_UPLOADS!$B:$B,$A226,FILE_UPLOADS!$D:$D,$C226)</f>
        <v>0</v>
      </c>
      <c r="H226" s="17" t="str">
        <f t="shared" si="1"/>
        <v/>
      </c>
    </row>
    <row r="227" ht="15.75" customHeight="1">
      <c r="A227" s="17" t="s">
        <v>332</v>
      </c>
      <c r="B227" s="17" t="s">
        <v>9</v>
      </c>
      <c r="C227" s="17" t="s">
        <v>140</v>
      </c>
      <c r="D227" s="17" t="s">
        <v>141</v>
      </c>
      <c r="E227" s="17" t="s">
        <v>142</v>
      </c>
      <c r="F227" s="17" t="str">
        <f t="array" ref="F227">IFERROR(INDEX(PL4_TONG_HOP!$J$2:$J$5000,MATCH($C227,PL4_TONG_HOP!$A$2:$A$5000,0)),"")</f>
        <v/>
      </c>
      <c r="G227" s="17">
        <f>COUNTIFS(FILE_UPLOADS!$B:$B,$A227,FILE_UPLOADS!$D:$D,$C227)</f>
        <v>0</v>
      </c>
      <c r="H227" s="17" t="str">
        <f t="shared" si="1"/>
        <v/>
      </c>
    </row>
    <row r="228" ht="15.75" customHeight="1">
      <c r="A228" s="17" t="s">
        <v>332</v>
      </c>
      <c r="B228" s="17" t="s">
        <v>9</v>
      </c>
      <c r="C228" s="17" t="s">
        <v>143</v>
      </c>
      <c r="D228" s="17" t="s">
        <v>144</v>
      </c>
      <c r="E228" s="17" t="s">
        <v>145</v>
      </c>
      <c r="F228" s="17" t="str">
        <f t="array" ref="F228">IFERROR(INDEX(PL4_TONG_HOP!$J$2:$J$5000,MATCH($C228,PL4_TONG_HOP!$A$2:$A$5000,0)),"")</f>
        <v/>
      </c>
      <c r="G228" s="17">
        <f>COUNTIFS(FILE_UPLOADS!$B:$B,$A228,FILE_UPLOADS!$D:$D,$C228)</f>
        <v>0</v>
      </c>
      <c r="H228" s="17" t="str">
        <f t="shared" si="1"/>
        <v/>
      </c>
    </row>
    <row r="229" ht="15.75" customHeight="1">
      <c r="A229" s="17" t="s">
        <v>332</v>
      </c>
      <c r="B229" s="17" t="s">
        <v>9</v>
      </c>
      <c r="C229" s="17" t="s">
        <v>149</v>
      </c>
      <c r="D229" s="17" t="s">
        <v>150</v>
      </c>
      <c r="E229" s="17" t="s">
        <v>151</v>
      </c>
      <c r="F229" s="17" t="str">
        <f t="array" ref="F229">IFERROR(INDEX(PL4_TONG_HOP!$J$2:$J$5000,MATCH($C229,PL4_TONG_HOP!$A$2:$A$5000,0)),"")</f>
        <v/>
      </c>
      <c r="G229" s="17">
        <f>COUNTIFS(FILE_UPLOADS!$B:$B,$A229,FILE_UPLOADS!$D:$D,$C229)</f>
        <v>0</v>
      </c>
      <c r="H229" s="17" t="str">
        <f t="shared" si="1"/>
        <v/>
      </c>
    </row>
    <row r="230" ht="15.75" customHeight="1">
      <c r="A230" s="17" t="s">
        <v>332</v>
      </c>
      <c r="B230" s="17" t="s">
        <v>9</v>
      </c>
      <c r="C230" s="17" t="s">
        <v>152</v>
      </c>
      <c r="D230" s="17" t="s">
        <v>153</v>
      </c>
      <c r="E230" s="17" t="s">
        <v>154</v>
      </c>
      <c r="F230" s="17" t="str">
        <f t="array" ref="F230">IFERROR(INDEX(PL4_TONG_HOP!$J$2:$J$5000,MATCH($C230,PL4_TONG_HOP!$A$2:$A$5000,0)),"")</f>
        <v/>
      </c>
      <c r="G230" s="17">
        <f>COUNTIFS(FILE_UPLOADS!$B:$B,$A230,FILE_UPLOADS!$D:$D,$C230)</f>
        <v>0</v>
      </c>
      <c r="H230" s="17" t="str">
        <f t="shared" si="1"/>
        <v/>
      </c>
    </row>
    <row r="231" ht="15.75" customHeight="1">
      <c r="A231" s="17" t="s">
        <v>332</v>
      </c>
      <c r="B231" s="17" t="s">
        <v>9</v>
      </c>
      <c r="C231" s="17" t="s">
        <v>155</v>
      </c>
      <c r="D231" s="17" t="s">
        <v>156</v>
      </c>
      <c r="E231" s="17" t="s">
        <v>157</v>
      </c>
      <c r="F231" s="17" t="str">
        <f t="array" ref="F231">IFERROR(INDEX(PL4_TONG_HOP!$J$2:$J$5000,MATCH($C231,PL4_TONG_HOP!$A$2:$A$5000,0)),"")</f>
        <v/>
      </c>
      <c r="G231" s="17">
        <f>COUNTIFS(FILE_UPLOADS!$B:$B,$A231,FILE_UPLOADS!$D:$D,$C231)</f>
        <v>0</v>
      </c>
      <c r="H231" s="17" t="str">
        <f t="shared" si="1"/>
        <v/>
      </c>
    </row>
    <row r="232" ht="15.75" customHeight="1">
      <c r="A232" s="17" t="s">
        <v>332</v>
      </c>
      <c r="B232" s="17" t="s">
        <v>9</v>
      </c>
      <c r="C232" s="17" t="s">
        <v>161</v>
      </c>
      <c r="D232" s="17" t="s">
        <v>162</v>
      </c>
      <c r="E232" s="17" t="s">
        <v>163</v>
      </c>
      <c r="F232" s="17" t="str">
        <f t="array" ref="F232">IFERROR(INDEX(PL4_TONG_HOP!$J$2:$J$5000,MATCH($C232,PL4_TONG_HOP!$A$2:$A$5000,0)),"")</f>
        <v/>
      </c>
      <c r="G232" s="17">
        <f>COUNTIFS(FILE_UPLOADS!$B:$B,$A232,FILE_UPLOADS!$D:$D,$C232)</f>
        <v>0</v>
      </c>
      <c r="H232" s="17" t="str">
        <f t="shared" si="1"/>
        <v/>
      </c>
    </row>
    <row r="233" ht="15.75" customHeight="1">
      <c r="A233" s="17" t="s">
        <v>332</v>
      </c>
      <c r="B233" s="17" t="s">
        <v>9</v>
      </c>
      <c r="C233" s="17" t="s">
        <v>164</v>
      </c>
      <c r="D233" s="17" t="s">
        <v>165</v>
      </c>
      <c r="E233" s="17" t="s">
        <v>166</v>
      </c>
      <c r="F233" s="17" t="str">
        <f t="array" ref="F233">IFERROR(INDEX(PL4_TONG_HOP!$J$2:$J$5000,MATCH($C233,PL4_TONG_HOP!$A$2:$A$5000,0)),"")</f>
        <v/>
      </c>
      <c r="G233" s="17">
        <f>COUNTIFS(FILE_UPLOADS!$B:$B,$A233,FILE_UPLOADS!$D:$D,$C233)</f>
        <v>0</v>
      </c>
      <c r="H233" s="17" t="str">
        <f t="shared" si="1"/>
        <v/>
      </c>
    </row>
    <row r="234" ht="15.75" customHeight="1">
      <c r="A234" s="17" t="s">
        <v>332</v>
      </c>
      <c r="B234" s="17" t="s">
        <v>9</v>
      </c>
      <c r="C234" s="17" t="s">
        <v>167</v>
      </c>
      <c r="D234" s="17" t="s">
        <v>168</v>
      </c>
      <c r="E234" s="17" t="s">
        <v>169</v>
      </c>
      <c r="F234" s="17" t="str">
        <f t="array" ref="F234">IFERROR(INDEX(PL4_TONG_HOP!$J$2:$J$5000,MATCH($C234,PL4_TONG_HOP!$A$2:$A$5000,0)),"")</f>
        <v/>
      </c>
      <c r="G234" s="17">
        <f>COUNTIFS(FILE_UPLOADS!$B:$B,$A234,FILE_UPLOADS!$D:$D,$C234)</f>
        <v>0</v>
      </c>
      <c r="H234" s="17" t="str">
        <f t="shared" si="1"/>
        <v/>
      </c>
    </row>
    <row r="235" ht="15.75" customHeight="1">
      <c r="A235" s="17" t="s">
        <v>332</v>
      </c>
      <c r="B235" s="17" t="s">
        <v>9</v>
      </c>
      <c r="C235" s="17" t="s">
        <v>173</v>
      </c>
      <c r="D235" s="17" t="s">
        <v>174</v>
      </c>
      <c r="E235" s="17" t="s">
        <v>175</v>
      </c>
      <c r="F235" s="17" t="str">
        <f t="array" ref="F235">IFERROR(INDEX(PL4_TONG_HOP!$J$2:$J$5000,MATCH($C235,PL4_TONG_HOP!$A$2:$A$5000,0)),"")</f>
        <v/>
      </c>
      <c r="G235" s="17">
        <f>COUNTIFS(FILE_UPLOADS!$B:$B,$A235,FILE_UPLOADS!$D:$D,$C235)</f>
        <v>0</v>
      </c>
      <c r="H235" s="17" t="str">
        <f t="shared" si="1"/>
        <v/>
      </c>
    </row>
    <row r="236" ht="15.75" customHeight="1">
      <c r="A236" s="17" t="s">
        <v>332</v>
      </c>
      <c r="B236" s="17" t="s">
        <v>9</v>
      </c>
      <c r="C236" s="17" t="s">
        <v>176</v>
      </c>
      <c r="D236" s="17" t="s">
        <v>177</v>
      </c>
      <c r="E236" s="17" t="s">
        <v>178</v>
      </c>
      <c r="F236" s="17" t="str">
        <f t="array" ref="F236">IFERROR(INDEX(PL4_TONG_HOP!$J$2:$J$5000,MATCH($C236,PL4_TONG_HOP!$A$2:$A$5000,0)),"")</f>
        <v/>
      </c>
      <c r="G236" s="17">
        <f>COUNTIFS(FILE_UPLOADS!$B:$B,$A236,FILE_UPLOADS!$D:$D,$C236)</f>
        <v>0</v>
      </c>
      <c r="H236" s="17" t="str">
        <f t="shared" si="1"/>
        <v/>
      </c>
    </row>
    <row r="237" ht="15.75" customHeight="1">
      <c r="A237" s="17" t="s">
        <v>332</v>
      </c>
      <c r="B237" s="17" t="s">
        <v>9</v>
      </c>
      <c r="C237" s="17" t="s">
        <v>212</v>
      </c>
      <c r="D237" s="17" t="s">
        <v>213</v>
      </c>
      <c r="E237" s="17" t="s">
        <v>214</v>
      </c>
      <c r="F237" s="17" t="str">
        <f t="array" ref="F237">IFERROR(INDEX(PL4_TONG_HOP!$J$2:$J$5000,MATCH($C237,PL4_TONG_HOP!$A$2:$A$5000,0)),"")</f>
        <v/>
      </c>
      <c r="G237" s="17">
        <f>COUNTIFS(FILE_UPLOADS!$B:$B,$A237,FILE_UPLOADS!$D:$D,$C237)</f>
        <v>0</v>
      </c>
      <c r="H237" s="17" t="str">
        <f t="shared" si="1"/>
        <v/>
      </c>
    </row>
    <row r="238" ht="15.75" customHeight="1">
      <c r="A238" s="17" t="s">
        <v>332</v>
      </c>
      <c r="B238" s="17" t="s">
        <v>9</v>
      </c>
      <c r="C238" s="17" t="s">
        <v>215</v>
      </c>
      <c r="D238" s="17" t="s">
        <v>216</v>
      </c>
      <c r="E238" s="17" t="s">
        <v>217</v>
      </c>
      <c r="F238" s="17" t="str">
        <f t="array" ref="F238">IFERROR(INDEX(PL4_TONG_HOP!$J$2:$J$5000,MATCH($C238,PL4_TONG_HOP!$A$2:$A$5000,0)),"")</f>
        <v/>
      </c>
      <c r="G238" s="17">
        <f>COUNTIFS(FILE_UPLOADS!$B:$B,$A238,FILE_UPLOADS!$D:$D,$C238)</f>
        <v>0</v>
      </c>
      <c r="H238" s="17" t="str">
        <f t="shared" si="1"/>
        <v/>
      </c>
    </row>
    <row r="239" ht="15.75" customHeight="1">
      <c r="A239" s="17" t="s">
        <v>332</v>
      </c>
      <c r="B239" s="17" t="s">
        <v>9</v>
      </c>
      <c r="C239" s="17" t="s">
        <v>227</v>
      </c>
      <c r="D239" s="17" t="s">
        <v>228</v>
      </c>
      <c r="E239" s="17" t="s">
        <v>229</v>
      </c>
      <c r="F239" s="17" t="str">
        <f t="array" ref="F239">IFERROR(INDEX(PL4_TONG_HOP!$J$2:$J$5000,MATCH($C239,PL4_TONG_HOP!$A$2:$A$5000,0)),"")</f>
        <v/>
      </c>
      <c r="G239" s="17">
        <f>COUNTIFS(FILE_UPLOADS!$B:$B,$A239,FILE_UPLOADS!$D:$D,$C239)</f>
        <v>0</v>
      </c>
      <c r="H239" s="17" t="str">
        <f t="shared" si="1"/>
        <v/>
      </c>
    </row>
    <row r="240" ht="15.75" customHeight="1">
      <c r="A240" s="17" t="s">
        <v>332</v>
      </c>
      <c r="B240" s="17" t="s">
        <v>9</v>
      </c>
      <c r="C240" s="17" t="s">
        <v>230</v>
      </c>
      <c r="D240" s="17" t="s">
        <v>231</v>
      </c>
      <c r="E240" s="17" t="s">
        <v>232</v>
      </c>
      <c r="F240" s="17" t="str">
        <f t="array" ref="F240">IFERROR(INDEX(PL4_TONG_HOP!$J$2:$J$5000,MATCH($C240,PL4_TONG_HOP!$A$2:$A$5000,0)),"")</f>
        <v/>
      </c>
      <c r="G240" s="17">
        <f>COUNTIFS(FILE_UPLOADS!$B:$B,$A240,FILE_UPLOADS!$D:$D,$C240)</f>
        <v>0</v>
      </c>
      <c r="H240" s="17" t="str">
        <f t="shared" si="1"/>
        <v/>
      </c>
    </row>
    <row r="241" ht="15.75" customHeight="1">
      <c r="A241" s="17" t="s">
        <v>332</v>
      </c>
      <c r="B241" s="17" t="s">
        <v>9</v>
      </c>
      <c r="C241" s="17" t="s">
        <v>236</v>
      </c>
      <c r="D241" s="17" t="s">
        <v>237</v>
      </c>
      <c r="E241" s="17" t="s">
        <v>238</v>
      </c>
      <c r="F241" s="17" t="str">
        <f t="array" ref="F241">IFERROR(INDEX(PL4_TONG_HOP!$J$2:$J$5000,MATCH($C241,PL4_TONG_HOP!$A$2:$A$5000,0)),"")</f>
        <v/>
      </c>
      <c r="G241" s="17">
        <f>COUNTIFS(FILE_UPLOADS!$B:$B,$A241,FILE_UPLOADS!$D:$D,$C241)</f>
        <v>0</v>
      </c>
      <c r="H241" s="17" t="str">
        <f t="shared" si="1"/>
        <v/>
      </c>
    </row>
    <row r="242" ht="15.75" customHeight="1">
      <c r="A242" s="17" t="s">
        <v>332</v>
      </c>
      <c r="B242" s="17" t="s">
        <v>9</v>
      </c>
      <c r="C242" s="17" t="s">
        <v>239</v>
      </c>
      <c r="D242" s="17" t="s">
        <v>240</v>
      </c>
      <c r="E242" s="17" t="s">
        <v>241</v>
      </c>
      <c r="F242" s="17" t="str">
        <f t="array" ref="F242">IFERROR(INDEX(PL4_TONG_HOP!$J$2:$J$5000,MATCH($C242,PL4_TONG_HOP!$A$2:$A$5000,0)),"")</f>
        <v/>
      </c>
      <c r="G242" s="17">
        <f>COUNTIFS(FILE_UPLOADS!$B:$B,$A242,FILE_UPLOADS!$D:$D,$C242)</f>
        <v>0</v>
      </c>
      <c r="H242" s="17" t="str">
        <f t="shared" si="1"/>
        <v/>
      </c>
    </row>
    <row r="243" ht="15.75" customHeight="1">
      <c r="A243" s="17" t="s">
        <v>332</v>
      </c>
      <c r="B243" s="17" t="s">
        <v>9</v>
      </c>
      <c r="C243" s="17" t="s">
        <v>242</v>
      </c>
      <c r="D243" s="17" t="s">
        <v>243</v>
      </c>
      <c r="E243" s="17" t="s">
        <v>244</v>
      </c>
      <c r="F243" s="17" t="str">
        <f t="array" ref="F243">IFERROR(INDEX(PL4_TONG_HOP!$J$2:$J$5000,MATCH($C243,PL4_TONG_HOP!$A$2:$A$5000,0)),"")</f>
        <v/>
      </c>
      <c r="G243" s="17">
        <f>COUNTIFS(FILE_UPLOADS!$B:$B,$A243,FILE_UPLOADS!$D:$D,$C243)</f>
        <v>0</v>
      </c>
      <c r="H243" s="17" t="str">
        <f t="shared" si="1"/>
        <v/>
      </c>
    </row>
    <row r="244" ht="15.75" customHeight="1">
      <c r="A244" s="17" t="s">
        <v>332</v>
      </c>
      <c r="B244" s="17" t="s">
        <v>9</v>
      </c>
      <c r="C244" s="17" t="s">
        <v>248</v>
      </c>
      <c r="D244" s="17" t="s">
        <v>249</v>
      </c>
      <c r="E244" s="17" t="s">
        <v>250</v>
      </c>
      <c r="F244" s="17" t="str">
        <f t="array" ref="F244">IFERROR(INDEX(PL4_TONG_HOP!$J$2:$J$5000,MATCH($C244,PL4_TONG_HOP!$A$2:$A$5000,0)),"")</f>
        <v/>
      </c>
      <c r="G244" s="17">
        <f>COUNTIFS(FILE_UPLOADS!$B:$B,$A244,FILE_UPLOADS!$D:$D,$C244)</f>
        <v>0</v>
      </c>
      <c r="H244" s="17" t="str">
        <f t="shared" si="1"/>
        <v/>
      </c>
    </row>
    <row r="245" ht="15.75" customHeight="1">
      <c r="A245" s="17" t="s">
        <v>332</v>
      </c>
      <c r="B245" s="17" t="s">
        <v>9</v>
      </c>
      <c r="C245" s="17" t="s">
        <v>251</v>
      </c>
      <c r="D245" s="17" t="s">
        <v>252</v>
      </c>
      <c r="E245" s="17" t="s">
        <v>253</v>
      </c>
      <c r="F245" s="17" t="str">
        <f t="array" ref="F245">IFERROR(INDEX(PL4_TONG_HOP!$J$2:$J$5000,MATCH($C245,PL4_TONG_HOP!$A$2:$A$5000,0)),"")</f>
        <v/>
      </c>
      <c r="G245" s="17">
        <f>COUNTIFS(FILE_UPLOADS!$B:$B,$A245,FILE_UPLOADS!$D:$D,$C245)</f>
        <v>0</v>
      </c>
      <c r="H245" s="17" t="str">
        <f t="shared" si="1"/>
        <v/>
      </c>
    </row>
    <row r="246" ht="15.75" customHeight="1">
      <c r="A246" s="17" t="s">
        <v>332</v>
      </c>
      <c r="B246" s="17" t="s">
        <v>9</v>
      </c>
      <c r="C246" s="17" t="s">
        <v>254</v>
      </c>
      <c r="D246" s="17" t="s">
        <v>255</v>
      </c>
      <c r="E246" s="17" t="s">
        <v>256</v>
      </c>
      <c r="F246" s="17" t="str">
        <f t="array" ref="F246">IFERROR(INDEX(PL4_TONG_HOP!$J$2:$J$5000,MATCH($C246,PL4_TONG_HOP!$A$2:$A$5000,0)),"")</f>
        <v/>
      </c>
      <c r="G246" s="17">
        <f>COUNTIFS(FILE_UPLOADS!$B:$B,$A246,FILE_UPLOADS!$D:$D,$C246)</f>
        <v>0</v>
      </c>
      <c r="H246" s="17" t="str">
        <f t="shared" si="1"/>
        <v/>
      </c>
    </row>
    <row r="247" ht="15.75" customHeight="1">
      <c r="A247" s="17" t="s">
        <v>332</v>
      </c>
      <c r="B247" s="17" t="s">
        <v>9</v>
      </c>
      <c r="C247" s="17" t="s">
        <v>260</v>
      </c>
      <c r="D247" s="17" t="s">
        <v>261</v>
      </c>
      <c r="E247" s="17" t="s">
        <v>262</v>
      </c>
      <c r="F247" s="17" t="str">
        <f t="array" ref="F247">IFERROR(INDEX(PL4_TONG_HOP!$J$2:$J$5000,MATCH($C247,PL4_TONG_HOP!$A$2:$A$5000,0)),"")</f>
        <v/>
      </c>
      <c r="G247" s="17">
        <f>COUNTIFS(FILE_UPLOADS!$B:$B,$A247,FILE_UPLOADS!$D:$D,$C247)</f>
        <v>0</v>
      </c>
      <c r="H247" s="17" t="str">
        <f t="shared" si="1"/>
        <v/>
      </c>
    </row>
    <row r="248" ht="15.75" customHeight="1">
      <c r="A248" s="17" t="s">
        <v>332</v>
      </c>
      <c r="B248" s="17" t="s">
        <v>9</v>
      </c>
      <c r="C248" s="17" t="s">
        <v>263</v>
      </c>
      <c r="D248" s="17" t="s">
        <v>264</v>
      </c>
      <c r="E248" s="17" t="s">
        <v>265</v>
      </c>
      <c r="F248" s="17" t="str">
        <f t="array" ref="F248">IFERROR(INDEX(PL4_TONG_HOP!$J$2:$J$5000,MATCH($C248,PL4_TONG_HOP!$A$2:$A$5000,0)),"")</f>
        <v/>
      </c>
      <c r="G248" s="17">
        <f>COUNTIFS(FILE_UPLOADS!$B:$B,$A248,FILE_UPLOADS!$D:$D,$C248)</f>
        <v>0</v>
      </c>
      <c r="H248" s="17" t="str">
        <f t="shared" si="1"/>
        <v/>
      </c>
    </row>
    <row r="249" ht="15.75" customHeight="1">
      <c r="A249" s="17" t="s">
        <v>332</v>
      </c>
      <c r="B249" s="17" t="s">
        <v>9</v>
      </c>
      <c r="C249" s="17" t="s">
        <v>266</v>
      </c>
      <c r="D249" s="17" t="s">
        <v>267</v>
      </c>
      <c r="E249" s="17" t="s">
        <v>268</v>
      </c>
      <c r="F249" s="17" t="str">
        <f t="array" ref="F249">IFERROR(INDEX(PL4_TONG_HOP!$J$2:$J$5000,MATCH($C249,PL4_TONG_HOP!$A$2:$A$5000,0)),"")</f>
        <v/>
      </c>
      <c r="G249" s="17">
        <f>COUNTIFS(FILE_UPLOADS!$B:$B,$A249,FILE_UPLOADS!$D:$D,$C249)</f>
        <v>0</v>
      </c>
      <c r="H249" s="17" t="str">
        <f t="shared" si="1"/>
        <v/>
      </c>
    </row>
    <row r="250" ht="15.75" customHeight="1">
      <c r="A250" s="17" t="s">
        <v>332</v>
      </c>
      <c r="B250" s="17" t="s">
        <v>9</v>
      </c>
      <c r="C250" s="17" t="s">
        <v>269</v>
      </c>
      <c r="D250" s="17" t="s">
        <v>270</v>
      </c>
      <c r="E250" s="17" t="s">
        <v>271</v>
      </c>
      <c r="F250" s="17" t="str">
        <f t="array" ref="F250">IFERROR(INDEX(PL4_TONG_HOP!$J$2:$J$5000,MATCH($C250,PL4_TONG_HOP!$A$2:$A$5000,0)),"")</f>
        <v/>
      </c>
      <c r="G250" s="17">
        <f>COUNTIFS(FILE_UPLOADS!$B:$B,$A250,FILE_UPLOADS!$D:$D,$C250)</f>
        <v>0</v>
      </c>
      <c r="H250" s="17" t="str">
        <f t="shared" si="1"/>
        <v/>
      </c>
    </row>
    <row r="251" ht="15.75" customHeight="1">
      <c r="A251" s="17" t="s">
        <v>332</v>
      </c>
      <c r="B251" s="17" t="s">
        <v>9</v>
      </c>
      <c r="C251" s="17" t="s">
        <v>272</v>
      </c>
      <c r="D251" s="17" t="s">
        <v>273</v>
      </c>
      <c r="E251" s="17" t="s">
        <v>274</v>
      </c>
      <c r="F251" s="17" t="str">
        <f t="array" ref="F251">IFERROR(INDEX(PL4_TONG_HOP!$J$2:$J$5000,MATCH($C251,PL4_TONG_HOP!$A$2:$A$5000,0)),"")</f>
        <v/>
      </c>
      <c r="G251" s="17">
        <f>COUNTIFS(FILE_UPLOADS!$B:$B,$A251,FILE_UPLOADS!$D:$D,$C251)</f>
        <v>0</v>
      </c>
      <c r="H251" s="17" t="str">
        <f t="shared" si="1"/>
        <v/>
      </c>
    </row>
    <row r="252" ht="15.75" customHeight="1">
      <c r="A252" s="17" t="s">
        <v>332</v>
      </c>
      <c r="B252" s="17" t="s">
        <v>9</v>
      </c>
      <c r="C252" s="17" t="s">
        <v>275</v>
      </c>
      <c r="D252" s="17" t="s">
        <v>276</v>
      </c>
      <c r="E252" s="17" t="s">
        <v>277</v>
      </c>
      <c r="F252" s="17" t="str">
        <f t="array" ref="F252">IFERROR(INDEX(PL4_TONG_HOP!$J$2:$J$5000,MATCH($C252,PL4_TONG_HOP!$A$2:$A$5000,0)),"")</f>
        <v/>
      </c>
      <c r="G252" s="17">
        <f>COUNTIFS(FILE_UPLOADS!$B:$B,$A252,FILE_UPLOADS!$D:$D,$C252)</f>
        <v>0</v>
      </c>
      <c r="H252" s="17" t="str">
        <f t="shared" si="1"/>
        <v/>
      </c>
    </row>
    <row r="253" ht="15.75" customHeight="1">
      <c r="A253" s="17" t="s">
        <v>332</v>
      </c>
      <c r="B253" s="17" t="s">
        <v>9</v>
      </c>
      <c r="C253" s="17" t="s">
        <v>278</v>
      </c>
      <c r="D253" s="17" t="s">
        <v>279</v>
      </c>
      <c r="E253" s="17" t="s">
        <v>280</v>
      </c>
      <c r="F253" s="17" t="str">
        <f t="array" ref="F253">IFERROR(INDEX(PL4_TONG_HOP!$J$2:$J$5000,MATCH($C253,PL4_TONG_HOP!$A$2:$A$5000,0)),"")</f>
        <v/>
      </c>
      <c r="G253" s="17">
        <f>COUNTIFS(FILE_UPLOADS!$B:$B,$A253,FILE_UPLOADS!$D:$D,$C253)</f>
        <v>0</v>
      </c>
      <c r="H253" s="17" t="str">
        <f t="shared" si="1"/>
        <v/>
      </c>
    </row>
    <row r="254" ht="15.75" customHeight="1">
      <c r="A254" s="17" t="s">
        <v>332</v>
      </c>
      <c r="B254" s="17" t="s">
        <v>9</v>
      </c>
      <c r="C254" s="17" t="s">
        <v>281</v>
      </c>
      <c r="D254" s="17" t="s">
        <v>282</v>
      </c>
      <c r="E254" s="17" t="s">
        <v>283</v>
      </c>
      <c r="F254" s="17" t="str">
        <f t="array" ref="F254">IFERROR(INDEX(PL4_TONG_HOP!$J$2:$J$5000,MATCH($C254,PL4_TONG_HOP!$A$2:$A$5000,0)),"")</f>
        <v/>
      </c>
      <c r="G254" s="17">
        <f>COUNTIFS(FILE_UPLOADS!$B:$B,$A254,FILE_UPLOADS!$D:$D,$C254)</f>
        <v>0</v>
      </c>
      <c r="H254" s="17" t="str">
        <f t="shared" si="1"/>
        <v/>
      </c>
    </row>
    <row r="255" ht="15.75" customHeight="1">
      <c r="A255" s="17" t="s">
        <v>332</v>
      </c>
      <c r="B255" s="17" t="s">
        <v>9</v>
      </c>
      <c r="C255" s="17" t="s">
        <v>290</v>
      </c>
      <c r="D255" s="17" t="s">
        <v>291</v>
      </c>
      <c r="E255" s="17" t="s">
        <v>292</v>
      </c>
      <c r="F255" s="17" t="str">
        <f t="array" ref="F255">IFERROR(INDEX(PL4_TONG_HOP!$J$2:$J$5000,MATCH($C255,PL4_TONG_HOP!$A$2:$A$5000,0)),"")</f>
        <v/>
      </c>
      <c r="G255" s="17">
        <f>COUNTIFS(FILE_UPLOADS!$B:$B,$A255,FILE_UPLOADS!$D:$D,$C255)</f>
        <v>0</v>
      </c>
      <c r="H255" s="17" t="str">
        <f t="shared" si="1"/>
        <v/>
      </c>
    </row>
    <row r="256" ht="15.75" customHeight="1">
      <c r="A256" s="17" t="s">
        <v>332</v>
      </c>
      <c r="B256" s="17" t="s">
        <v>9</v>
      </c>
      <c r="C256" s="17" t="s">
        <v>293</v>
      </c>
      <c r="D256" s="17" t="s">
        <v>294</v>
      </c>
      <c r="E256" s="17" t="s">
        <v>295</v>
      </c>
      <c r="F256" s="17" t="str">
        <f t="array" ref="F256">IFERROR(INDEX(PL4_TONG_HOP!$J$2:$J$5000,MATCH($C256,PL4_TONG_HOP!$A$2:$A$5000,0)),"")</f>
        <v/>
      </c>
      <c r="G256" s="17">
        <f>COUNTIFS(FILE_UPLOADS!$B:$B,$A256,FILE_UPLOADS!$D:$D,$C256)</f>
        <v>0</v>
      </c>
      <c r="H256" s="17" t="str">
        <f t="shared" si="1"/>
        <v/>
      </c>
    </row>
    <row r="257" ht="15.75" customHeight="1">
      <c r="A257" s="17" t="s">
        <v>332</v>
      </c>
      <c r="B257" s="17" t="s">
        <v>9</v>
      </c>
      <c r="C257" s="17" t="s">
        <v>299</v>
      </c>
      <c r="D257" s="17" t="s">
        <v>300</v>
      </c>
      <c r="E257" s="17" t="s">
        <v>301</v>
      </c>
      <c r="F257" s="17" t="str">
        <f t="array" ref="F257">IFERROR(INDEX(PL4_TONG_HOP!$J$2:$J$5000,MATCH($C257,PL4_TONG_HOP!$A$2:$A$5000,0)),"")</f>
        <v/>
      </c>
      <c r="G257" s="17">
        <f>COUNTIFS(FILE_UPLOADS!$B:$B,$A257,FILE_UPLOADS!$D:$D,$C257)</f>
        <v>0</v>
      </c>
      <c r="H257" s="17" t="str">
        <f t="shared" si="1"/>
        <v/>
      </c>
    </row>
    <row r="258" ht="15.75" customHeight="1">
      <c r="A258" s="17" t="s">
        <v>332</v>
      </c>
      <c r="B258" s="17" t="s">
        <v>9</v>
      </c>
      <c r="C258" s="17" t="s">
        <v>302</v>
      </c>
      <c r="D258" s="17" t="s">
        <v>303</v>
      </c>
      <c r="E258" s="17" t="s">
        <v>304</v>
      </c>
      <c r="F258" s="17" t="str">
        <f t="array" ref="F258">IFERROR(INDEX(PL4_TONG_HOP!$J$2:$J$5000,MATCH($C258,PL4_TONG_HOP!$A$2:$A$5000,0)),"")</f>
        <v/>
      </c>
      <c r="G258" s="17">
        <f>COUNTIFS(FILE_UPLOADS!$B:$B,$A258,FILE_UPLOADS!$D:$D,$C258)</f>
        <v>0</v>
      </c>
      <c r="H258" s="17" t="str">
        <f t="shared" si="1"/>
        <v/>
      </c>
    </row>
    <row r="259" ht="15.75" customHeight="1">
      <c r="A259" s="17" t="s">
        <v>332</v>
      </c>
      <c r="B259" s="17" t="s">
        <v>9</v>
      </c>
      <c r="C259" s="17" t="s">
        <v>308</v>
      </c>
      <c r="D259" s="17" t="s">
        <v>309</v>
      </c>
      <c r="E259" s="17" t="s">
        <v>310</v>
      </c>
      <c r="F259" s="17" t="str">
        <f t="array" ref="F259">IFERROR(INDEX(PL4_TONG_HOP!$J$2:$J$5000,MATCH($C259,PL4_TONG_HOP!$A$2:$A$5000,0)),"")</f>
        <v/>
      </c>
      <c r="G259" s="17">
        <f>COUNTIFS(FILE_UPLOADS!$B:$B,$A259,FILE_UPLOADS!$D:$D,$C259)</f>
        <v>0</v>
      </c>
      <c r="H259" s="17" t="str">
        <f t="shared" si="1"/>
        <v/>
      </c>
    </row>
    <row r="260" ht="15.75" customHeight="1">
      <c r="A260" s="17" t="s">
        <v>332</v>
      </c>
      <c r="B260" s="17" t="s">
        <v>9</v>
      </c>
      <c r="C260" s="17" t="s">
        <v>311</v>
      </c>
      <c r="D260" s="17" t="s">
        <v>312</v>
      </c>
      <c r="E260" s="17" t="s">
        <v>313</v>
      </c>
      <c r="F260" s="17" t="str">
        <f t="array" ref="F260">IFERROR(INDEX(PL4_TONG_HOP!$J$2:$J$5000,MATCH($C260,PL4_TONG_HOP!$A$2:$A$5000,0)),"")</f>
        <v/>
      </c>
      <c r="G260" s="17">
        <f>COUNTIFS(FILE_UPLOADS!$B:$B,$A260,FILE_UPLOADS!$D:$D,$C260)</f>
        <v>0</v>
      </c>
      <c r="H260" s="17" t="str">
        <f t="shared" si="1"/>
        <v/>
      </c>
    </row>
    <row r="261" ht="15.75" customHeight="1">
      <c r="A261" s="17" t="s">
        <v>332</v>
      </c>
      <c r="B261" s="17" t="s">
        <v>9</v>
      </c>
      <c r="C261" s="17" t="s">
        <v>314</v>
      </c>
      <c r="D261" s="17" t="s">
        <v>315</v>
      </c>
      <c r="E261" s="17" t="s">
        <v>316</v>
      </c>
      <c r="F261" s="17" t="str">
        <f t="array" ref="F261">IFERROR(INDEX(PL4_TONG_HOP!$J$2:$J$5000,MATCH($C261,PL4_TONG_HOP!$A$2:$A$5000,0)),"")</f>
        <v/>
      </c>
      <c r="G261" s="17">
        <f>COUNTIFS(FILE_UPLOADS!$B:$B,$A261,FILE_UPLOADS!$D:$D,$C261)</f>
        <v>0</v>
      </c>
      <c r="H261" s="17" t="str">
        <f t="shared" si="1"/>
        <v/>
      </c>
    </row>
    <row r="262" ht="15.75" customHeight="1">
      <c r="A262" s="17" t="s">
        <v>333</v>
      </c>
      <c r="B262" s="17" t="s">
        <v>10</v>
      </c>
      <c r="C262" s="17" t="s">
        <v>46</v>
      </c>
      <c r="D262" s="17" t="s">
        <v>47</v>
      </c>
      <c r="E262" s="17" t="s">
        <v>48</v>
      </c>
      <c r="F262" s="17" t="str">
        <f t="array" ref="F262">IFERROR(INDEX(PL4_TONG_HOP!$K$2:$K$5000,MATCH($C262,PL4_TONG_HOP!$A$2:$A$5000,0)),"")</f>
        <v/>
      </c>
      <c r="G262" s="17">
        <f>COUNTIFS(FILE_UPLOADS!$B:$B,$A262,FILE_UPLOADS!$D:$D,$C262)</f>
        <v>0</v>
      </c>
      <c r="H262" s="17" t="str">
        <f t="shared" si="1"/>
        <v/>
      </c>
    </row>
    <row r="263" ht="15.75" customHeight="1">
      <c r="A263" s="17" t="s">
        <v>333</v>
      </c>
      <c r="B263" s="17" t="s">
        <v>10</v>
      </c>
      <c r="C263" s="17" t="s">
        <v>78</v>
      </c>
      <c r="D263" s="17" t="s">
        <v>79</v>
      </c>
      <c r="E263" s="17" t="s">
        <v>80</v>
      </c>
      <c r="F263" s="17" t="str">
        <f t="array" ref="F263">IFERROR(INDEX(PL4_TONG_HOP!$K$2:$K$5000,MATCH($C263,PL4_TONG_HOP!$A$2:$A$5000,0)),"")</f>
        <v/>
      </c>
      <c r="G263" s="17">
        <f>COUNTIFS(FILE_UPLOADS!$B:$B,$A263,FILE_UPLOADS!$D:$D,$C263)</f>
        <v>0</v>
      </c>
      <c r="H263" s="17" t="str">
        <f t="shared" si="1"/>
        <v/>
      </c>
    </row>
    <row r="264" ht="15.75" customHeight="1">
      <c r="A264" s="17" t="s">
        <v>333</v>
      </c>
      <c r="B264" s="17" t="s">
        <v>10</v>
      </c>
      <c r="C264" s="17" t="s">
        <v>81</v>
      </c>
      <c r="D264" s="17" t="s">
        <v>82</v>
      </c>
      <c r="E264" s="17" t="s">
        <v>83</v>
      </c>
      <c r="F264" s="17" t="str">
        <f t="array" ref="F264">IFERROR(INDEX(PL4_TONG_HOP!$K$2:$K$5000,MATCH($C264,PL4_TONG_HOP!$A$2:$A$5000,0)),"")</f>
        <v/>
      </c>
      <c r="G264" s="17">
        <f>COUNTIFS(FILE_UPLOADS!$B:$B,$A264,FILE_UPLOADS!$D:$D,$C264)</f>
        <v>0</v>
      </c>
      <c r="H264" s="17" t="str">
        <f t="shared" si="1"/>
        <v/>
      </c>
    </row>
    <row r="265" ht="15.75" customHeight="1">
      <c r="A265" s="17" t="s">
        <v>333</v>
      </c>
      <c r="B265" s="17" t="s">
        <v>10</v>
      </c>
      <c r="C265" s="17" t="s">
        <v>87</v>
      </c>
      <c r="D265" s="17" t="s">
        <v>88</v>
      </c>
      <c r="E265" s="17" t="s">
        <v>89</v>
      </c>
      <c r="F265" s="17" t="str">
        <f t="array" ref="F265">IFERROR(INDEX(PL4_TONG_HOP!$K$2:$K$5000,MATCH($C265,PL4_TONG_HOP!$A$2:$A$5000,0)),"")</f>
        <v/>
      </c>
      <c r="G265" s="17">
        <f>COUNTIFS(FILE_UPLOADS!$B:$B,$A265,FILE_UPLOADS!$D:$D,$C265)</f>
        <v>0</v>
      </c>
      <c r="H265" s="17" t="str">
        <f t="shared" si="1"/>
        <v/>
      </c>
    </row>
    <row r="266" ht="15.75" customHeight="1">
      <c r="A266" s="17" t="s">
        <v>333</v>
      </c>
      <c r="B266" s="17" t="s">
        <v>10</v>
      </c>
      <c r="C266" s="17" t="s">
        <v>90</v>
      </c>
      <c r="D266" s="17" t="s">
        <v>91</v>
      </c>
      <c r="E266" s="17" t="s">
        <v>92</v>
      </c>
      <c r="F266" s="17" t="str">
        <f t="array" ref="F266">IFERROR(INDEX(PL4_TONG_HOP!$K$2:$K$5000,MATCH($C266,PL4_TONG_HOP!$A$2:$A$5000,0)),"")</f>
        <v/>
      </c>
      <c r="G266" s="17">
        <f>COUNTIFS(FILE_UPLOADS!$B:$B,$A266,FILE_UPLOADS!$D:$D,$C266)</f>
        <v>0</v>
      </c>
      <c r="H266" s="17" t="str">
        <f t="shared" si="1"/>
        <v/>
      </c>
    </row>
    <row r="267" ht="15.75" customHeight="1">
      <c r="A267" s="17" t="s">
        <v>333</v>
      </c>
      <c r="B267" s="17" t="s">
        <v>10</v>
      </c>
      <c r="C267" s="17" t="s">
        <v>93</v>
      </c>
      <c r="D267" s="17" t="s">
        <v>85</v>
      </c>
      <c r="E267" s="17" t="s">
        <v>94</v>
      </c>
      <c r="F267" s="17" t="str">
        <f t="array" ref="F267">IFERROR(INDEX(PL4_TONG_HOP!$K$2:$K$5000,MATCH($C267,PL4_TONG_HOP!$A$2:$A$5000,0)),"")</f>
        <v/>
      </c>
      <c r="G267" s="17">
        <f>COUNTIFS(FILE_UPLOADS!$B:$B,$A267,FILE_UPLOADS!$D:$D,$C267)</f>
        <v>0</v>
      </c>
      <c r="H267" s="17" t="str">
        <f t="shared" si="1"/>
        <v/>
      </c>
    </row>
    <row r="268" ht="15.75" customHeight="1">
      <c r="A268" s="17" t="s">
        <v>333</v>
      </c>
      <c r="B268" s="17" t="s">
        <v>10</v>
      </c>
      <c r="C268" s="17" t="s">
        <v>95</v>
      </c>
      <c r="D268" s="17" t="s">
        <v>96</v>
      </c>
      <c r="E268" s="17" t="s">
        <v>97</v>
      </c>
      <c r="F268" s="17" t="str">
        <f t="array" ref="F268">IFERROR(INDEX(PL4_TONG_HOP!$K$2:$K$5000,MATCH($C268,PL4_TONG_HOP!$A$2:$A$5000,0)),"")</f>
        <v/>
      </c>
      <c r="G268" s="17">
        <f>COUNTIFS(FILE_UPLOADS!$B:$B,$A268,FILE_UPLOADS!$D:$D,$C268)</f>
        <v>0</v>
      </c>
      <c r="H268" s="17" t="str">
        <f t="shared" si="1"/>
        <v/>
      </c>
    </row>
    <row r="269" ht="15.75" customHeight="1">
      <c r="A269" s="17" t="s">
        <v>333</v>
      </c>
      <c r="B269" s="17" t="s">
        <v>10</v>
      </c>
      <c r="C269" s="17" t="s">
        <v>98</v>
      </c>
      <c r="D269" s="17" t="s">
        <v>99</v>
      </c>
      <c r="E269" s="17" t="s">
        <v>100</v>
      </c>
      <c r="F269" s="17" t="str">
        <f t="array" ref="F269">IFERROR(INDEX(PL4_TONG_HOP!$K$2:$K$5000,MATCH($C269,PL4_TONG_HOP!$A$2:$A$5000,0)),"")</f>
        <v/>
      </c>
      <c r="G269" s="17">
        <f>COUNTIFS(FILE_UPLOADS!$B:$B,$A269,FILE_UPLOADS!$D:$D,$C269)</f>
        <v>0</v>
      </c>
      <c r="H269" s="17" t="str">
        <f t="shared" si="1"/>
        <v/>
      </c>
    </row>
    <row r="270" ht="15.75" customHeight="1">
      <c r="A270" s="17" t="s">
        <v>333</v>
      </c>
      <c r="B270" s="17" t="s">
        <v>10</v>
      </c>
      <c r="C270" s="17" t="s">
        <v>101</v>
      </c>
      <c r="D270" s="17" t="s">
        <v>102</v>
      </c>
      <c r="E270" s="17" t="s">
        <v>103</v>
      </c>
      <c r="F270" s="17" t="str">
        <f t="array" ref="F270">IFERROR(INDEX(PL4_TONG_HOP!$K$2:$K$5000,MATCH($C270,PL4_TONG_HOP!$A$2:$A$5000,0)),"")</f>
        <v/>
      </c>
      <c r="G270" s="17">
        <f>COUNTIFS(FILE_UPLOADS!$B:$B,$A270,FILE_UPLOADS!$D:$D,$C270)</f>
        <v>0</v>
      </c>
      <c r="H270" s="17" t="str">
        <f t="shared" si="1"/>
        <v/>
      </c>
    </row>
    <row r="271" ht="15.75" customHeight="1">
      <c r="A271" s="17" t="s">
        <v>333</v>
      </c>
      <c r="B271" s="17" t="s">
        <v>10</v>
      </c>
      <c r="C271" s="17" t="s">
        <v>113</v>
      </c>
      <c r="D271" s="17" t="s">
        <v>114</v>
      </c>
      <c r="E271" s="17" t="s">
        <v>115</v>
      </c>
      <c r="F271" s="17" t="str">
        <f t="array" ref="F271">IFERROR(INDEX(PL4_TONG_HOP!$K$2:$K$5000,MATCH($C271,PL4_TONG_HOP!$A$2:$A$5000,0)),"")</f>
        <v/>
      </c>
      <c r="G271" s="17">
        <f>COUNTIFS(FILE_UPLOADS!$B:$B,$A271,FILE_UPLOADS!$D:$D,$C271)</f>
        <v>0</v>
      </c>
      <c r="H271" s="17" t="str">
        <f t="shared" si="1"/>
        <v/>
      </c>
    </row>
    <row r="272" ht="15.75" customHeight="1">
      <c r="A272" s="17" t="s">
        <v>333</v>
      </c>
      <c r="B272" s="17" t="s">
        <v>10</v>
      </c>
      <c r="C272" s="17" t="s">
        <v>116</v>
      </c>
      <c r="D272" s="17" t="s">
        <v>117</v>
      </c>
      <c r="E272" s="17" t="s">
        <v>118</v>
      </c>
      <c r="F272" s="17" t="str">
        <f t="array" ref="F272">IFERROR(INDEX(PL4_TONG_HOP!$K$2:$K$5000,MATCH($C272,PL4_TONG_HOP!$A$2:$A$5000,0)),"")</f>
        <v/>
      </c>
      <c r="G272" s="17">
        <f>COUNTIFS(FILE_UPLOADS!$B:$B,$A272,FILE_UPLOADS!$D:$D,$C272)</f>
        <v>0</v>
      </c>
      <c r="H272" s="17" t="str">
        <f t="shared" si="1"/>
        <v/>
      </c>
    </row>
    <row r="273" ht="15.75" customHeight="1">
      <c r="A273" s="17" t="s">
        <v>333</v>
      </c>
      <c r="B273" s="17" t="s">
        <v>10</v>
      </c>
      <c r="C273" s="17" t="s">
        <v>119</v>
      </c>
      <c r="D273" s="17" t="s">
        <v>120</v>
      </c>
      <c r="E273" s="17" t="s">
        <v>121</v>
      </c>
      <c r="F273" s="17" t="str">
        <f t="array" ref="F273">IFERROR(INDEX(PL4_TONG_HOP!$K$2:$K$5000,MATCH($C273,PL4_TONG_HOP!$A$2:$A$5000,0)),"")</f>
        <v/>
      </c>
      <c r="G273" s="17">
        <f>COUNTIFS(FILE_UPLOADS!$B:$B,$A273,FILE_UPLOADS!$D:$D,$C273)</f>
        <v>0</v>
      </c>
      <c r="H273" s="17" t="str">
        <f t="shared" si="1"/>
        <v/>
      </c>
    </row>
    <row r="274" ht="15.75" customHeight="1">
      <c r="A274" s="17" t="s">
        <v>333</v>
      </c>
      <c r="B274" s="17" t="s">
        <v>10</v>
      </c>
      <c r="C274" s="17" t="s">
        <v>122</v>
      </c>
      <c r="D274" s="17" t="s">
        <v>123</v>
      </c>
      <c r="E274" s="17" t="s">
        <v>124</v>
      </c>
      <c r="F274" s="17" t="str">
        <f t="array" ref="F274">IFERROR(INDEX(PL4_TONG_HOP!$K$2:$K$5000,MATCH($C274,PL4_TONG_HOP!$A$2:$A$5000,0)),"")</f>
        <v/>
      </c>
      <c r="G274" s="17">
        <f>COUNTIFS(FILE_UPLOADS!$B:$B,$A274,FILE_UPLOADS!$D:$D,$C274)</f>
        <v>0</v>
      </c>
      <c r="H274" s="17" t="str">
        <f t="shared" si="1"/>
        <v/>
      </c>
    </row>
    <row r="275" ht="15.75" customHeight="1">
      <c r="A275" s="17" t="s">
        <v>333</v>
      </c>
      <c r="B275" s="17" t="s">
        <v>10</v>
      </c>
      <c r="C275" s="17" t="s">
        <v>125</v>
      </c>
      <c r="D275" s="17" t="s">
        <v>126</v>
      </c>
      <c r="E275" s="17" t="s">
        <v>127</v>
      </c>
      <c r="F275" s="17" t="str">
        <f t="array" ref="F275">IFERROR(INDEX(PL4_TONG_HOP!$K$2:$K$5000,MATCH($C275,PL4_TONG_HOP!$A$2:$A$5000,0)),"")</f>
        <v/>
      </c>
      <c r="G275" s="17">
        <f>COUNTIFS(FILE_UPLOADS!$B:$B,$A275,FILE_UPLOADS!$D:$D,$C275)</f>
        <v>0</v>
      </c>
      <c r="H275" s="17" t="str">
        <f t="shared" si="1"/>
        <v/>
      </c>
    </row>
    <row r="276" ht="15.75" customHeight="1">
      <c r="A276" s="17" t="s">
        <v>333</v>
      </c>
      <c r="B276" s="17" t="s">
        <v>10</v>
      </c>
      <c r="C276" s="17" t="s">
        <v>128</v>
      </c>
      <c r="D276" s="17" t="s">
        <v>129</v>
      </c>
      <c r="E276" s="17" t="s">
        <v>130</v>
      </c>
      <c r="F276" s="17" t="str">
        <f t="array" ref="F276">IFERROR(INDEX(PL4_TONG_HOP!$K$2:$K$5000,MATCH($C276,PL4_TONG_HOP!$A$2:$A$5000,0)),"")</f>
        <v/>
      </c>
      <c r="G276" s="17">
        <f>COUNTIFS(FILE_UPLOADS!$B:$B,$A276,FILE_UPLOADS!$D:$D,$C276)</f>
        <v>0</v>
      </c>
      <c r="H276" s="17" t="str">
        <f t="shared" si="1"/>
        <v/>
      </c>
    </row>
    <row r="277" ht="15.75" customHeight="1">
      <c r="A277" s="17" t="s">
        <v>333</v>
      </c>
      <c r="B277" s="17" t="s">
        <v>10</v>
      </c>
      <c r="C277" s="17" t="s">
        <v>131</v>
      </c>
      <c r="D277" s="17" t="s">
        <v>132</v>
      </c>
      <c r="E277" s="17" t="s">
        <v>133</v>
      </c>
      <c r="F277" s="17" t="str">
        <f t="array" ref="F277">IFERROR(INDEX(PL4_TONG_HOP!$K$2:$K$5000,MATCH($C277,PL4_TONG_HOP!$A$2:$A$5000,0)),"")</f>
        <v/>
      </c>
      <c r="G277" s="17">
        <f>COUNTIFS(FILE_UPLOADS!$B:$B,$A277,FILE_UPLOADS!$D:$D,$C277)</f>
        <v>0</v>
      </c>
      <c r="H277" s="17" t="str">
        <f t="shared" si="1"/>
        <v/>
      </c>
    </row>
    <row r="278" ht="15.75" customHeight="1">
      <c r="A278" s="17" t="s">
        <v>333</v>
      </c>
      <c r="B278" s="17" t="s">
        <v>10</v>
      </c>
      <c r="C278" s="17" t="s">
        <v>134</v>
      </c>
      <c r="D278" s="17" t="s">
        <v>135</v>
      </c>
      <c r="E278" s="17" t="s">
        <v>136</v>
      </c>
      <c r="F278" s="17" t="str">
        <f t="array" ref="F278">IFERROR(INDEX(PL4_TONG_HOP!$K$2:$K$5000,MATCH($C278,PL4_TONG_HOP!$A$2:$A$5000,0)),"")</f>
        <v/>
      </c>
      <c r="G278" s="17">
        <f>COUNTIFS(FILE_UPLOADS!$B:$B,$A278,FILE_UPLOADS!$D:$D,$C278)</f>
        <v>0</v>
      </c>
      <c r="H278" s="17" t="str">
        <f t="shared" si="1"/>
        <v/>
      </c>
    </row>
    <row r="279" ht="15.75" customHeight="1">
      <c r="A279" s="17" t="s">
        <v>333</v>
      </c>
      <c r="B279" s="17" t="s">
        <v>10</v>
      </c>
      <c r="C279" s="17" t="s">
        <v>140</v>
      </c>
      <c r="D279" s="17" t="s">
        <v>141</v>
      </c>
      <c r="E279" s="17" t="s">
        <v>142</v>
      </c>
      <c r="F279" s="17" t="str">
        <f t="array" ref="F279">IFERROR(INDEX(PL4_TONG_HOP!$K$2:$K$5000,MATCH($C279,PL4_TONG_HOP!$A$2:$A$5000,0)),"")</f>
        <v/>
      </c>
      <c r="G279" s="17">
        <f>COUNTIFS(FILE_UPLOADS!$B:$B,$A279,FILE_UPLOADS!$D:$D,$C279)</f>
        <v>0</v>
      </c>
      <c r="H279" s="17" t="str">
        <f t="shared" si="1"/>
        <v/>
      </c>
    </row>
    <row r="280" ht="15.75" customHeight="1">
      <c r="A280" s="17" t="s">
        <v>333</v>
      </c>
      <c r="B280" s="17" t="s">
        <v>10</v>
      </c>
      <c r="C280" s="17" t="s">
        <v>143</v>
      </c>
      <c r="D280" s="17" t="s">
        <v>144</v>
      </c>
      <c r="E280" s="17" t="s">
        <v>145</v>
      </c>
      <c r="F280" s="17" t="str">
        <f t="array" ref="F280">IFERROR(INDEX(PL4_TONG_HOP!$K$2:$K$5000,MATCH($C280,PL4_TONG_HOP!$A$2:$A$5000,0)),"")</f>
        <v/>
      </c>
      <c r="G280" s="17">
        <f>COUNTIFS(FILE_UPLOADS!$B:$B,$A280,FILE_UPLOADS!$D:$D,$C280)</f>
        <v>0</v>
      </c>
      <c r="H280" s="17" t="str">
        <f t="shared" si="1"/>
        <v/>
      </c>
    </row>
    <row r="281" ht="15.75" customHeight="1">
      <c r="A281" s="17" t="s">
        <v>333</v>
      </c>
      <c r="B281" s="17" t="s">
        <v>10</v>
      </c>
      <c r="C281" s="17" t="s">
        <v>149</v>
      </c>
      <c r="D281" s="17" t="s">
        <v>150</v>
      </c>
      <c r="E281" s="17" t="s">
        <v>151</v>
      </c>
      <c r="F281" s="17" t="str">
        <f t="array" ref="F281">IFERROR(INDEX(PL4_TONG_HOP!$K$2:$K$5000,MATCH($C281,PL4_TONG_HOP!$A$2:$A$5000,0)),"")</f>
        <v/>
      </c>
      <c r="G281" s="17">
        <f>COUNTIFS(FILE_UPLOADS!$B:$B,$A281,FILE_UPLOADS!$D:$D,$C281)</f>
        <v>0</v>
      </c>
      <c r="H281" s="17" t="str">
        <f t="shared" si="1"/>
        <v/>
      </c>
    </row>
    <row r="282" ht="15.75" customHeight="1">
      <c r="A282" s="17" t="s">
        <v>333</v>
      </c>
      <c r="B282" s="17" t="s">
        <v>10</v>
      </c>
      <c r="C282" s="17" t="s">
        <v>152</v>
      </c>
      <c r="D282" s="17" t="s">
        <v>153</v>
      </c>
      <c r="E282" s="17" t="s">
        <v>154</v>
      </c>
      <c r="F282" s="17" t="str">
        <f t="array" ref="F282">IFERROR(INDEX(PL4_TONG_HOP!$K$2:$K$5000,MATCH($C282,PL4_TONG_HOP!$A$2:$A$5000,0)),"")</f>
        <v/>
      </c>
      <c r="G282" s="17">
        <f>COUNTIFS(FILE_UPLOADS!$B:$B,$A282,FILE_UPLOADS!$D:$D,$C282)</f>
        <v>0</v>
      </c>
      <c r="H282" s="17" t="str">
        <f t="shared" si="1"/>
        <v/>
      </c>
    </row>
    <row r="283" ht="15.75" customHeight="1">
      <c r="A283" s="17" t="s">
        <v>333</v>
      </c>
      <c r="B283" s="17" t="s">
        <v>10</v>
      </c>
      <c r="C283" s="17" t="s">
        <v>155</v>
      </c>
      <c r="D283" s="17" t="s">
        <v>156</v>
      </c>
      <c r="E283" s="17" t="s">
        <v>157</v>
      </c>
      <c r="F283" s="17" t="str">
        <f t="array" ref="F283">IFERROR(INDEX(PL4_TONG_HOP!$K$2:$K$5000,MATCH($C283,PL4_TONG_HOP!$A$2:$A$5000,0)),"")</f>
        <v/>
      </c>
      <c r="G283" s="17">
        <f>COUNTIFS(FILE_UPLOADS!$B:$B,$A283,FILE_UPLOADS!$D:$D,$C283)</f>
        <v>0</v>
      </c>
      <c r="H283" s="17" t="str">
        <f t="shared" si="1"/>
        <v/>
      </c>
    </row>
    <row r="284" ht="15.75" customHeight="1">
      <c r="A284" s="17" t="s">
        <v>333</v>
      </c>
      <c r="B284" s="17" t="s">
        <v>10</v>
      </c>
      <c r="C284" s="17" t="s">
        <v>161</v>
      </c>
      <c r="D284" s="17" t="s">
        <v>162</v>
      </c>
      <c r="E284" s="17" t="s">
        <v>163</v>
      </c>
      <c r="F284" s="17" t="str">
        <f t="array" ref="F284">IFERROR(INDEX(PL4_TONG_HOP!$K$2:$K$5000,MATCH($C284,PL4_TONG_HOP!$A$2:$A$5000,0)),"")</f>
        <v/>
      </c>
      <c r="G284" s="17">
        <f>COUNTIFS(FILE_UPLOADS!$B:$B,$A284,FILE_UPLOADS!$D:$D,$C284)</f>
        <v>0</v>
      </c>
      <c r="H284" s="17" t="str">
        <f t="shared" si="1"/>
        <v/>
      </c>
    </row>
    <row r="285" ht="15.75" customHeight="1">
      <c r="A285" s="17" t="s">
        <v>333</v>
      </c>
      <c r="B285" s="17" t="s">
        <v>10</v>
      </c>
      <c r="C285" s="17" t="s">
        <v>164</v>
      </c>
      <c r="D285" s="17" t="s">
        <v>165</v>
      </c>
      <c r="E285" s="17" t="s">
        <v>166</v>
      </c>
      <c r="F285" s="17" t="str">
        <f t="array" ref="F285">IFERROR(INDEX(PL4_TONG_HOP!$K$2:$K$5000,MATCH($C285,PL4_TONG_HOP!$A$2:$A$5000,0)),"")</f>
        <v/>
      </c>
      <c r="G285" s="17">
        <f>COUNTIFS(FILE_UPLOADS!$B:$B,$A285,FILE_UPLOADS!$D:$D,$C285)</f>
        <v>0</v>
      </c>
      <c r="H285" s="17" t="str">
        <f t="shared" si="1"/>
        <v/>
      </c>
    </row>
    <row r="286" ht="15.75" customHeight="1">
      <c r="A286" s="17" t="s">
        <v>333</v>
      </c>
      <c r="B286" s="17" t="s">
        <v>10</v>
      </c>
      <c r="C286" s="17" t="s">
        <v>167</v>
      </c>
      <c r="D286" s="17" t="s">
        <v>168</v>
      </c>
      <c r="E286" s="17" t="s">
        <v>169</v>
      </c>
      <c r="F286" s="17" t="str">
        <f t="array" ref="F286">IFERROR(INDEX(PL4_TONG_HOP!$K$2:$K$5000,MATCH($C286,PL4_TONG_HOP!$A$2:$A$5000,0)),"")</f>
        <v/>
      </c>
      <c r="G286" s="17">
        <f>COUNTIFS(FILE_UPLOADS!$B:$B,$A286,FILE_UPLOADS!$D:$D,$C286)</f>
        <v>0</v>
      </c>
      <c r="H286" s="17" t="str">
        <f t="shared" si="1"/>
        <v/>
      </c>
    </row>
    <row r="287" ht="15.75" customHeight="1">
      <c r="A287" s="17" t="s">
        <v>333</v>
      </c>
      <c r="B287" s="17" t="s">
        <v>10</v>
      </c>
      <c r="C287" s="17" t="s">
        <v>173</v>
      </c>
      <c r="D287" s="17" t="s">
        <v>174</v>
      </c>
      <c r="E287" s="17" t="s">
        <v>175</v>
      </c>
      <c r="F287" s="17" t="str">
        <f t="array" ref="F287">IFERROR(INDEX(PL4_TONG_HOP!$K$2:$K$5000,MATCH($C287,PL4_TONG_HOP!$A$2:$A$5000,0)),"")</f>
        <v/>
      </c>
      <c r="G287" s="17">
        <f>COUNTIFS(FILE_UPLOADS!$B:$B,$A287,FILE_UPLOADS!$D:$D,$C287)</f>
        <v>0</v>
      </c>
      <c r="H287" s="17" t="str">
        <f t="shared" si="1"/>
        <v/>
      </c>
    </row>
    <row r="288" ht="15.75" customHeight="1">
      <c r="A288" s="17" t="s">
        <v>333</v>
      </c>
      <c r="B288" s="17" t="s">
        <v>10</v>
      </c>
      <c r="C288" s="17" t="s">
        <v>176</v>
      </c>
      <c r="D288" s="17" t="s">
        <v>177</v>
      </c>
      <c r="E288" s="17" t="s">
        <v>178</v>
      </c>
      <c r="F288" s="17" t="str">
        <f t="array" ref="F288">IFERROR(INDEX(PL4_TONG_HOP!$K$2:$K$5000,MATCH($C288,PL4_TONG_HOP!$A$2:$A$5000,0)),"")</f>
        <v/>
      </c>
      <c r="G288" s="17">
        <f>COUNTIFS(FILE_UPLOADS!$B:$B,$A288,FILE_UPLOADS!$D:$D,$C288)</f>
        <v>0</v>
      </c>
      <c r="H288" s="17" t="str">
        <f t="shared" si="1"/>
        <v/>
      </c>
    </row>
    <row r="289" ht="15.75" customHeight="1">
      <c r="A289" s="17" t="s">
        <v>333</v>
      </c>
      <c r="B289" s="17" t="s">
        <v>10</v>
      </c>
      <c r="C289" s="17" t="s">
        <v>212</v>
      </c>
      <c r="D289" s="17" t="s">
        <v>213</v>
      </c>
      <c r="E289" s="17" t="s">
        <v>214</v>
      </c>
      <c r="F289" s="17" t="str">
        <f t="array" ref="F289">IFERROR(INDEX(PL4_TONG_HOP!$K$2:$K$5000,MATCH($C289,PL4_TONG_HOP!$A$2:$A$5000,0)),"")</f>
        <v/>
      </c>
      <c r="G289" s="17">
        <f>COUNTIFS(FILE_UPLOADS!$B:$B,$A289,FILE_UPLOADS!$D:$D,$C289)</f>
        <v>0</v>
      </c>
      <c r="H289" s="17" t="str">
        <f t="shared" si="1"/>
        <v/>
      </c>
    </row>
    <row r="290" ht="15.75" customHeight="1">
      <c r="A290" s="17" t="s">
        <v>333</v>
      </c>
      <c r="B290" s="17" t="s">
        <v>10</v>
      </c>
      <c r="C290" s="17" t="s">
        <v>215</v>
      </c>
      <c r="D290" s="17" t="s">
        <v>216</v>
      </c>
      <c r="E290" s="17" t="s">
        <v>217</v>
      </c>
      <c r="F290" s="17" t="str">
        <f t="array" ref="F290">IFERROR(INDEX(PL4_TONG_HOP!$K$2:$K$5000,MATCH($C290,PL4_TONG_HOP!$A$2:$A$5000,0)),"")</f>
        <v/>
      </c>
      <c r="G290" s="17">
        <f>COUNTIFS(FILE_UPLOADS!$B:$B,$A290,FILE_UPLOADS!$D:$D,$C290)</f>
        <v>0</v>
      </c>
      <c r="H290" s="17" t="str">
        <f t="shared" si="1"/>
        <v/>
      </c>
    </row>
    <row r="291" ht="15.75" customHeight="1">
      <c r="A291" s="17" t="s">
        <v>333</v>
      </c>
      <c r="B291" s="17" t="s">
        <v>10</v>
      </c>
      <c r="C291" s="17" t="s">
        <v>227</v>
      </c>
      <c r="D291" s="17" t="s">
        <v>228</v>
      </c>
      <c r="E291" s="17" t="s">
        <v>229</v>
      </c>
      <c r="F291" s="17" t="str">
        <f t="array" ref="F291">IFERROR(INDEX(PL4_TONG_HOP!$K$2:$K$5000,MATCH($C291,PL4_TONG_HOP!$A$2:$A$5000,0)),"")</f>
        <v/>
      </c>
      <c r="G291" s="17">
        <f>COUNTIFS(FILE_UPLOADS!$B:$B,$A291,FILE_UPLOADS!$D:$D,$C291)</f>
        <v>0</v>
      </c>
      <c r="H291" s="17" t="str">
        <f t="shared" si="1"/>
        <v/>
      </c>
    </row>
    <row r="292" ht="15.75" customHeight="1">
      <c r="A292" s="17" t="s">
        <v>333</v>
      </c>
      <c r="B292" s="17" t="s">
        <v>10</v>
      </c>
      <c r="C292" s="17" t="s">
        <v>230</v>
      </c>
      <c r="D292" s="17" t="s">
        <v>231</v>
      </c>
      <c r="E292" s="17" t="s">
        <v>232</v>
      </c>
      <c r="F292" s="17" t="str">
        <f t="array" ref="F292">IFERROR(INDEX(PL4_TONG_HOP!$K$2:$K$5000,MATCH($C292,PL4_TONG_HOP!$A$2:$A$5000,0)),"")</f>
        <v/>
      </c>
      <c r="G292" s="17">
        <f>COUNTIFS(FILE_UPLOADS!$B:$B,$A292,FILE_UPLOADS!$D:$D,$C292)</f>
        <v>0</v>
      </c>
      <c r="H292" s="17" t="str">
        <f t="shared" si="1"/>
        <v/>
      </c>
    </row>
    <row r="293" ht="15.75" customHeight="1">
      <c r="A293" s="17" t="s">
        <v>333</v>
      </c>
      <c r="B293" s="17" t="s">
        <v>10</v>
      </c>
      <c r="C293" s="17" t="s">
        <v>236</v>
      </c>
      <c r="D293" s="17" t="s">
        <v>237</v>
      </c>
      <c r="E293" s="17" t="s">
        <v>238</v>
      </c>
      <c r="F293" s="17" t="str">
        <f t="array" ref="F293">IFERROR(INDEX(PL4_TONG_HOP!$K$2:$K$5000,MATCH($C293,PL4_TONG_HOP!$A$2:$A$5000,0)),"")</f>
        <v/>
      </c>
      <c r="G293" s="17">
        <f>COUNTIFS(FILE_UPLOADS!$B:$B,$A293,FILE_UPLOADS!$D:$D,$C293)</f>
        <v>0</v>
      </c>
      <c r="H293" s="17" t="str">
        <f t="shared" si="1"/>
        <v/>
      </c>
    </row>
    <row r="294" ht="15.75" customHeight="1">
      <c r="A294" s="17" t="s">
        <v>333</v>
      </c>
      <c r="B294" s="17" t="s">
        <v>10</v>
      </c>
      <c r="C294" s="17" t="s">
        <v>239</v>
      </c>
      <c r="D294" s="17" t="s">
        <v>240</v>
      </c>
      <c r="E294" s="17" t="s">
        <v>241</v>
      </c>
      <c r="F294" s="17" t="str">
        <f t="array" ref="F294">IFERROR(INDEX(PL4_TONG_HOP!$K$2:$K$5000,MATCH($C294,PL4_TONG_HOP!$A$2:$A$5000,0)),"")</f>
        <v/>
      </c>
      <c r="G294" s="17">
        <f>COUNTIFS(FILE_UPLOADS!$B:$B,$A294,FILE_UPLOADS!$D:$D,$C294)</f>
        <v>0</v>
      </c>
      <c r="H294" s="17" t="str">
        <f t="shared" si="1"/>
        <v/>
      </c>
    </row>
    <row r="295" ht="15.75" customHeight="1">
      <c r="A295" s="17" t="s">
        <v>333</v>
      </c>
      <c r="B295" s="17" t="s">
        <v>10</v>
      </c>
      <c r="C295" s="17" t="s">
        <v>242</v>
      </c>
      <c r="D295" s="17" t="s">
        <v>243</v>
      </c>
      <c r="E295" s="17" t="s">
        <v>244</v>
      </c>
      <c r="F295" s="17" t="str">
        <f t="array" ref="F295">IFERROR(INDEX(PL4_TONG_HOP!$K$2:$K$5000,MATCH($C295,PL4_TONG_HOP!$A$2:$A$5000,0)),"")</f>
        <v/>
      </c>
      <c r="G295" s="17">
        <f>COUNTIFS(FILE_UPLOADS!$B:$B,$A295,FILE_UPLOADS!$D:$D,$C295)</f>
        <v>0</v>
      </c>
      <c r="H295" s="17" t="str">
        <f t="shared" si="1"/>
        <v/>
      </c>
    </row>
    <row r="296" ht="15.75" customHeight="1">
      <c r="A296" s="17" t="s">
        <v>333</v>
      </c>
      <c r="B296" s="17" t="s">
        <v>10</v>
      </c>
      <c r="C296" s="17" t="s">
        <v>248</v>
      </c>
      <c r="D296" s="17" t="s">
        <v>249</v>
      </c>
      <c r="E296" s="17" t="s">
        <v>250</v>
      </c>
      <c r="F296" s="17" t="str">
        <f t="array" ref="F296">IFERROR(INDEX(PL4_TONG_HOP!$K$2:$K$5000,MATCH($C296,PL4_TONG_HOP!$A$2:$A$5000,0)),"")</f>
        <v/>
      </c>
      <c r="G296" s="17">
        <f>COUNTIFS(FILE_UPLOADS!$B:$B,$A296,FILE_UPLOADS!$D:$D,$C296)</f>
        <v>0</v>
      </c>
      <c r="H296" s="17" t="str">
        <f t="shared" si="1"/>
        <v/>
      </c>
    </row>
    <row r="297" ht="15.75" customHeight="1">
      <c r="A297" s="17" t="s">
        <v>333</v>
      </c>
      <c r="B297" s="17" t="s">
        <v>10</v>
      </c>
      <c r="C297" s="17" t="s">
        <v>251</v>
      </c>
      <c r="D297" s="17" t="s">
        <v>252</v>
      </c>
      <c r="E297" s="17" t="s">
        <v>253</v>
      </c>
      <c r="F297" s="17" t="str">
        <f t="array" ref="F297">IFERROR(INDEX(PL4_TONG_HOP!$K$2:$K$5000,MATCH($C297,PL4_TONG_HOP!$A$2:$A$5000,0)),"")</f>
        <v/>
      </c>
      <c r="G297" s="17">
        <f>COUNTIFS(FILE_UPLOADS!$B:$B,$A297,FILE_UPLOADS!$D:$D,$C297)</f>
        <v>0</v>
      </c>
      <c r="H297" s="17" t="str">
        <f t="shared" si="1"/>
        <v/>
      </c>
    </row>
    <row r="298" ht="15.75" customHeight="1">
      <c r="A298" s="17" t="s">
        <v>333</v>
      </c>
      <c r="B298" s="17" t="s">
        <v>10</v>
      </c>
      <c r="C298" s="17" t="s">
        <v>254</v>
      </c>
      <c r="D298" s="17" t="s">
        <v>255</v>
      </c>
      <c r="E298" s="17" t="s">
        <v>256</v>
      </c>
      <c r="F298" s="17" t="str">
        <f t="array" ref="F298">IFERROR(INDEX(PL4_TONG_HOP!$K$2:$K$5000,MATCH($C298,PL4_TONG_HOP!$A$2:$A$5000,0)),"")</f>
        <v/>
      </c>
      <c r="G298" s="17">
        <f>COUNTIFS(FILE_UPLOADS!$B:$B,$A298,FILE_UPLOADS!$D:$D,$C298)</f>
        <v>0</v>
      </c>
      <c r="H298" s="17" t="str">
        <f t="shared" si="1"/>
        <v/>
      </c>
    </row>
    <row r="299" ht="15.75" customHeight="1">
      <c r="A299" s="17" t="s">
        <v>333</v>
      </c>
      <c r="B299" s="17" t="s">
        <v>10</v>
      </c>
      <c r="C299" s="17" t="s">
        <v>260</v>
      </c>
      <c r="D299" s="17" t="s">
        <v>261</v>
      </c>
      <c r="E299" s="17" t="s">
        <v>262</v>
      </c>
      <c r="F299" s="17" t="str">
        <f t="array" ref="F299">IFERROR(INDEX(PL4_TONG_HOP!$K$2:$K$5000,MATCH($C299,PL4_TONG_HOP!$A$2:$A$5000,0)),"")</f>
        <v/>
      </c>
      <c r="G299" s="17">
        <f>COUNTIFS(FILE_UPLOADS!$B:$B,$A299,FILE_UPLOADS!$D:$D,$C299)</f>
        <v>0</v>
      </c>
      <c r="H299" s="17" t="str">
        <f t="shared" si="1"/>
        <v/>
      </c>
    </row>
    <row r="300" ht="15.75" customHeight="1">
      <c r="A300" s="17" t="s">
        <v>333</v>
      </c>
      <c r="B300" s="17" t="s">
        <v>10</v>
      </c>
      <c r="C300" s="17" t="s">
        <v>263</v>
      </c>
      <c r="D300" s="17" t="s">
        <v>264</v>
      </c>
      <c r="E300" s="17" t="s">
        <v>265</v>
      </c>
      <c r="F300" s="17" t="str">
        <f t="array" ref="F300">IFERROR(INDEX(PL4_TONG_HOP!$K$2:$K$5000,MATCH($C300,PL4_TONG_HOP!$A$2:$A$5000,0)),"")</f>
        <v/>
      </c>
      <c r="G300" s="17">
        <f>COUNTIFS(FILE_UPLOADS!$B:$B,$A300,FILE_UPLOADS!$D:$D,$C300)</f>
        <v>0</v>
      </c>
      <c r="H300" s="17" t="str">
        <f t="shared" si="1"/>
        <v/>
      </c>
    </row>
    <row r="301" ht="15.75" customHeight="1">
      <c r="A301" s="17" t="s">
        <v>333</v>
      </c>
      <c r="B301" s="17" t="s">
        <v>10</v>
      </c>
      <c r="C301" s="17" t="s">
        <v>266</v>
      </c>
      <c r="D301" s="17" t="s">
        <v>267</v>
      </c>
      <c r="E301" s="17" t="s">
        <v>268</v>
      </c>
      <c r="F301" s="17" t="str">
        <f t="array" ref="F301">IFERROR(INDEX(PL4_TONG_HOP!$K$2:$K$5000,MATCH($C301,PL4_TONG_HOP!$A$2:$A$5000,0)),"")</f>
        <v/>
      </c>
      <c r="G301" s="17">
        <f>COUNTIFS(FILE_UPLOADS!$B:$B,$A301,FILE_UPLOADS!$D:$D,$C301)</f>
        <v>0</v>
      </c>
      <c r="H301" s="17" t="str">
        <f t="shared" si="1"/>
        <v/>
      </c>
    </row>
    <row r="302" ht="15.75" customHeight="1">
      <c r="A302" s="17" t="s">
        <v>333</v>
      </c>
      <c r="B302" s="17" t="s">
        <v>10</v>
      </c>
      <c r="C302" s="17" t="s">
        <v>269</v>
      </c>
      <c r="D302" s="17" t="s">
        <v>270</v>
      </c>
      <c r="E302" s="17" t="s">
        <v>271</v>
      </c>
      <c r="F302" s="17" t="str">
        <f t="array" ref="F302">IFERROR(INDEX(PL4_TONG_HOP!$K$2:$K$5000,MATCH($C302,PL4_TONG_HOP!$A$2:$A$5000,0)),"")</f>
        <v/>
      </c>
      <c r="G302" s="17">
        <f>COUNTIFS(FILE_UPLOADS!$B:$B,$A302,FILE_UPLOADS!$D:$D,$C302)</f>
        <v>0</v>
      </c>
      <c r="H302" s="17" t="str">
        <f t="shared" si="1"/>
        <v/>
      </c>
    </row>
    <row r="303" ht="15.75" customHeight="1">
      <c r="A303" s="17" t="s">
        <v>333</v>
      </c>
      <c r="B303" s="17" t="s">
        <v>10</v>
      </c>
      <c r="C303" s="17" t="s">
        <v>272</v>
      </c>
      <c r="D303" s="17" t="s">
        <v>273</v>
      </c>
      <c r="E303" s="17" t="s">
        <v>274</v>
      </c>
      <c r="F303" s="17" t="str">
        <f t="array" ref="F303">IFERROR(INDEX(PL4_TONG_HOP!$K$2:$K$5000,MATCH($C303,PL4_TONG_HOP!$A$2:$A$5000,0)),"")</f>
        <v/>
      </c>
      <c r="G303" s="17">
        <f>COUNTIFS(FILE_UPLOADS!$B:$B,$A303,FILE_UPLOADS!$D:$D,$C303)</f>
        <v>0</v>
      </c>
      <c r="H303" s="17" t="str">
        <f t="shared" si="1"/>
        <v/>
      </c>
    </row>
    <row r="304" ht="15.75" customHeight="1">
      <c r="A304" s="17" t="s">
        <v>333</v>
      </c>
      <c r="B304" s="17" t="s">
        <v>10</v>
      </c>
      <c r="C304" s="17" t="s">
        <v>275</v>
      </c>
      <c r="D304" s="17" t="s">
        <v>276</v>
      </c>
      <c r="E304" s="17" t="s">
        <v>277</v>
      </c>
      <c r="F304" s="17" t="str">
        <f t="array" ref="F304">IFERROR(INDEX(PL4_TONG_HOP!$K$2:$K$5000,MATCH($C304,PL4_TONG_HOP!$A$2:$A$5000,0)),"")</f>
        <v/>
      </c>
      <c r="G304" s="17">
        <f>COUNTIFS(FILE_UPLOADS!$B:$B,$A304,FILE_UPLOADS!$D:$D,$C304)</f>
        <v>0</v>
      </c>
      <c r="H304" s="17" t="str">
        <f t="shared" si="1"/>
        <v/>
      </c>
    </row>
    <row r="305" ht="15.75" customHeight="1">
      <c r="A305" s="17" t="s">
        <v>333</v>
      </c>
      <c r="B305" s="17" t="s">
        <v>10</v>
      </c>
      <c r="C305" s="17" t="s">
        <v>278</v>
      </c>
      <c r="D305" s="17" t="s">
        <v>279</v>
      </c>
      <c r="E305" s="17" t="s">
        <v>280</v>
      </c>
      <c r="F305" s="17" t="str">
        <f t="array" ref="F305">IFERROR(INDEX(PL4_TONG_HOP!$K$2:$K$5000,MATCH($C305,PL4_TONG_HOP!$A$2:$A$5000,0)),"")</f>
        <v/>
      </c>
      <c r="G305" s="17">
        <f>COUNTIFS(FILE_UPLOADS!$B:$B,$A305,FILE_UPLOADS!$D:$D,$C305)</f>
        <v>0</v>
      </c>
      <c r="H305" s="17" t="str">
        <f t="shared" si="1"/>
        <v/>
      </c>
    </row>
    <row r="306" ht="15.75" customHeight="1">
      <c r="A306" s="17" t="s">
        <v>333</v>
      </c>
      <c r="B306" s="17" t="s">
        <v>10</v>
      </c>
      <c r="C306" s="17" t="s">
        <v>281</v>
      </c>
      <c r="D306" s="17" t="s">
        <v>282</v>
      </c>
      <c r="E306" s="17" t="s">
        <v>283</v>
      </c>
      <c r="F306" s="17" t="str">
        <f t="array" ref="F306">IFERROR(INDEX(PL4_TONG_HOP!$K$2:$K$5000,MATCH($C306,PL4_TONG_HOP!$A$2:$A$5000,0)),"")</f>
        <v/>
      </c>
      <c r="G306" s="17">
        <f>COUNTIFS(FILE_UPLOADS!$B:$B,$A306,FILE_UPLOADS!$D:$D,$C306)</f>
        <v>0</v>
      </c>
      <c r="H306" s="17" t="str">
        <f t="shared" si="1"/>
        <v/>
      </c>
    </row>
    <row r="307" ht="15.75" customHeight="1">
      <c r="A307" s="17" t="s">
        <v>333</v>
      </c>
      <c r="B307" s="17" t="s">
        <v>10</v>
      </c>
      <c r="C307" s="17" t="s">
        <v>290</v>
      </c>
      <c r="D307" s="17" t="s">
        <v>291</v>
      </c>
      <c r="E307" s="17" t="s">
        <v>292</v>
      </c>
      <c r="F307" s="17" t="str">
        <f t="array" ref="F307">IFERROR(INDEX(PL4_TONG_HOP!$K$2:$K$5000,MATCH($C307,PL4_TONG_HOP!$A$2:$A$5000,0)),"")</f>
        <v/>
      </c>
      <c r="G307" s="17">
        <f>COUNTIFS(FILE_UPLOADS!$B:$B,$A307,FILE_UPLOADS!$D:$D,$C307)</f>
        <v>0</v>
      </c>
      <c r="H307" s="17" t="str">
        <f t="shared" si="1"/>
        <v/>
      </c>
    </row>
    <row r="308" ht="15.75" customHeight="1">
      <c r="A308" s="17" t="s">
        <v>333</v>
      </c>
      <c r="B308" s="17" t="s">
        <v>10</v>
      </c>
      <c r="C308" s="17" t="s">
        <v>293</v>
      </c>
      <c r="D308" s="17" t="s">
        <v>294</v>
      </c>
      <c r="E308" s="17" t="s">
        <v>295</v>
      </c>
      <c r="F308" s="17" t="str">
        <f t="array" ref="F308">IFERROR(INDEX(PL4_TONG_HOP!$K$2:$K$5000,MATCH($C308,PL4_TONG_HOP!$A$2:$A$5000,0)),"")</f>
        <v/>
      </c>
      <c r="G308" s="17">
        <f>COUNTIFS(FILE_UPLOADS!$B:$B,$A308,FILE_UPLOADS!$D:$D,$C308)</f>
        <v>0</v>
      </c>
      <c r="H308" s="17" t="str">
        <f t="shared" si="1"/>
        <v/>
      </c>
    </row>
    <row r="309" ht="15.75" customHeight="1">
      <c r="A309" s="17" t="s">
        <v>333</v>
      </c>
      <c r="B309" s="17" t="s">
        <v>10</v>
      </c>
      <c r="C309" s="17" t="s">
        <v>299</v>
      </c>
      <c r="D309" s="17" t="s">
        <v>300</v>
      </c>
      <c r="E309" s="17" t="s">
        <v>301</v>
      </c>
      <c r="F309" s="17" t="str">
        <f t="array" ref="F309">IFERROR(INDEX(PL4_TONG_HOP!$K$2:$K$5000,MATCH($C309,PL4_TONG_HOP!$A$2:$A$5000,0)),"")</f>
        <v/>
      </c>
      <c r="G309" s="17">
        <f>COUNTIFS(FILE_UPLOADS!$B:$B,$A309,FILE_UPLOADS!$D:$D,$C309)</f>
        <v>0</v>
      </c>
      <c r="H309" s="17" t="str">
        <f t="shared" si="1"/>
        <v/>
      </c>
    </row>
    <row r="310" ht="15.75" customHeight="1">
      <c r="A310" s="17" t="s">
        <v>333</v>
      </c>
      <c r="B310" s="17" t="s">
        <v>10</v>
      </c>
      <c r="C310" s="17" t="s">
        <v>302</v>
      </c>
      <c r="D310" s="17" t="s">
        <v>303</v>
      </c>
      <c r="E310" s="17" t="s">
        <v>304</v>
      </c>
      <c r="F310" s="17" t="str">
        <f t="array" ref="F310">IFERROR(INDEX(PL4_TONG_HOP!$K$2:$K$5000,MATCH($C310,PL4_TONG_HOP!$A$2:$A$5000,0)),"")</f>
        <v/>
      </c>
      <c r="G310" s="17">
        <f>COUNTIFS(FILE_UPLOADS!$B:$B,$A310,FILE_UPLOADS!$D:$D,$C310)</f>
        <v>0</v>
      </c>
      <c r="H310" s="17" t="str">
        <f t="shared" si="1"/>
        <v/>
      </c>
    </row>
    <row r="311" ht="15.75" customHeight="1">
      <c r="A311" s="17" t="s">
        <v>333</v>
      </c>
      <c r="B311" s="17" t="s">
        <v>10</v>
      </c>
      <c r="C311" s="17" t="s">
        <v>308</v>
      </c>
      <c r="D311" s="17" t="s">
        <v>309</v>
      </c>
      <c r="E311" s="17" t="s">
        <v>310</v>
      </c>
      <c r="F311" s="17" t="str">
        <f t="array" ref="F311">IFERROR(INDEX(PL4_TONG_HOP!$K$2:$K$5000,MATCH($C311,PL4_TONG_HOP!$A$2:$A$5000,0)),"")</f>
        <v/>
      </c>
      <c r="G311" s="17">
        <f>COUNTIFS(FILE_UPLOADS!$B:$B,$A311,FILE_UPLOADS!$D:$D,$C311)</f>
        <v>0</v>
      </c>
      <c r="H311" s="17" t="str">
        <f t="shared" si="1"/>
        <v/>
      </c>
    </row>
    <row r="312" ht="15.75" customHeight="1">
      <c r="A312" s="17" t="s">
        <v>333</v>
      </c>
      <c r="B312" s="17" t="s">
        <v>10</v>
      </c>
      <c r="C312" s="17" t="s">
        <v>311</v>
      </c>
      <c r="D312" s="17" t="s">
        <v>312</v>
      </c>
      <c r="E312" s="17" t="s">
        <v>313</v>
      </c>
      <c r="F312" s="17" t="str">
        <f t="array" ref="F312">IFERROR(INDEX(PL4_TONG_HOP!$K$2:$K$5000,MATCH($C312,PL4_TONG_HOP!$A$2:$A$5000,0)),"")</f>
        <v/>
      </c>
      <c r="G312" s="17">
        <f>COUNTIFS(FILE_UPLOADS!$B:$B,$A312,FILE_UPLOADS!$D:$D,$C312)</f>
        <v>0</v>
      </c>
      <c r="H312" s="17" t="str">
        <f t="shared" si="1"/>
        <v/>
      </c>
    </row>
    <row r="313" ht="15.75" customHeight="1">
      <c r="A313" s="17" t="s">
        <v>333</v>
      </c>
      <c r="B313" s="17" t="s">
        <v>10</v>
      </c>
      <c r="C313" s="17" t="s">
        <v>314</v>
      </c>
      <c r="D313" s="17" t="s">
        <v>315</v>
      </c>
      <c r="E313" s="17" t="s">
        <v>316</v>
      </c>
      <c r="F313" s="17" t="str">
        <f t="array" ref="F313">IFERROR(INDEX(PL4_TONG_HOP!$K$2:$K$5000,MATCH($C313,PL4_TONG_HOP!$A$2:$A$5000,0)),"")</f>
        <v/>
      </c>
      <c r="G313" s="17">
        <f>COUNTIFS(FILE_UPLOADS!$B:$B,$A313,FILE_UPLOADS!$D:$D,$C313)</f>
        <v>0</v>
      </c>
      <c r="H313" s="17" t="str">
        <f t="shared" si="1"/>
        <v/>
      </c>
    </row>
    <row r="314" ht="15.75" customHeight="1">
      <c r="A314" s="17" t="s">
        <v>334</v>
      </c>
      <c r="B314" s="17" t="s">
        <v>11</v>
      </c>
      <c r="C314" s="17" t="s">
        <v>46</v>
      </c>
      <c r="D314" s="17" t="s">
        <v>47</v>
      </c>
      <c r="E314" s="17" t="s">
        <v>48</v>
      </c>
      <c r="F314" s="17" t="str">
        <f t="array" ref="F314">IFERROR(INDEX(PL4_TONG_HOP!$L$2:$L$5000,MATCH($C314,PL4_TONG_HOP!$A$2:$A$5000,0)),"")</f>
        <v/>
      </c>
      <c r="G314" s="17">
        <f>COUNTIFS(FILE_UPLOADS!$B:$B,$A314,FILE_UPLOADS!$D:$D,$C314)</f>
        <v>0</v>
      </c>
      <c r="H314" s="17" t="str">
        <f t="shared" si="1"/>
        <v/>
      </c>
    </row>
    <row r="315" ht="15.75" customHeight="1">
      <c r="A315" s="17" t="s">
        <v>334</v>
      </c>
      <c r="B315" s="17" t="s">
        <v>11</v>
      </c>
      <c r="C315" s="17" t="s">
        <v>78</v>
      </c>
      <c r="D315" s="17" t="s">
        <v>79</v>
      </c>
      <c r="E315" s="17" t="s">
        <v>80</v>
      </c>
      <c r="F315" s="17" t="str">
        <f t="array" ref="F315">IFERROR(INDEX(PL4_TONG_HOP!$L$2:$L$5000,MATCH($C315,PL4_TONG_HOP!$A$2:$A$5000,0)),"")</f>
        <v/>
      </c>
      <c r="G315" s="17">
        <f>COUNTIFS(FILE_UPLOADS!$B:$B,$A315,FILE_UPLOADS!$D:$D,$C315)</f>
        <v>0</v>
      </c>
      <c r="H315" s="17" t="str">
        <f t="shared" si="1"/>
        <v/>
      </c>
    </row>
    <row r="316" ht="15.75" customHeight="1">
      <c r="A316" s="17" t="s">
        <v>334</v>
      </c>
      <c r="B316" s="17" t="s">
        <v>11</v>
      </c>
      <c r="C316" s="17" t="s">
        <v>81</v>
      </c>
      <c r="D316" s="17" t="s">
        <v>82</v>
      </c>
      <c r="E316" s="17" t="s">
        <v>83</v>
      </c>
      <c r="F316" s="17" t="str">
        <f t="array" ref="F316">IFERROR(INDEX(PL4_TONG_HOP!$L$2:$L$5000,MATCH($C316,PL4_TONG_HOP!$A$2:$A$5000,0)),"")</f>
        <v/>
      </c>
      <c r="G316" s="17">
        <f>COUNTIFS(FILE_UPLOADS!$B:$B,$A316,FILE_UPLOADS!$D:$D,$C316)</f>
        <v>0</v>
      </c>
      <c r="H316" s="17" t="str">
        <f t="shared" si="1"/>
        <v/>
      </c>
    </row>
    <row r="317" ht="15.75" customHeight="1">
      <c r="A317" s="17" t="s">
        <v>334</v>
      </c>
      <c r="B317" s="17" t="s">
        <v>11</v>
      </c>
      <c r="C317" s="17" t="s">
        <v>87</v>
      </c>
      <c r="D317" s="17" t="s">
        <v>88</v>
      </c>
      <c r="E317" s="17" t="s">
        <v>89</v>
      </c>
      <c r="F317" s="17" t="str">
        <f t="array" ref="F317">IFERROR(INDEX(PL4_TONG_HOP!$L$2:$L$5000,MATCH($C317,PL4_TONG_HOP!$A$2:$A$5000,0)),"")</f>
        <v/>
      </c>
      <c r="G317" s="17">
        <f>COUNTIFS(FILE_UPLOADS!$B:$B,$A317,FILE_UPLOADS!$D:$D,$C317)</f>
        <v>0</v>
      </c>
      <c r="H317" s="17" t="str">
        <f t="shared" si="1"/>
        <v/>
      </c>
    </row>
    <row r="318" ht="15.75" customHeight="1">
      <c r="A318" s="17" t="s">
        <v>334</v>
      </c>
      <c r="B318" s="17" t="s">
        <v>11</v>
      </c>
      <c r="C318" s="17" t="s">
        <v>90</v>
      </c>
      <c r="D318" s="17" t="s">
        <v>91</v>
      </c>
      <c r="E318" s="17" t="s">
        <v>92</v>
      </c>
      <c r="F318" s="17" t="str">
        <f t="array" ref="F318">IFERROR(INDEX(PL4_TONG_HOP!$L$2:$L$5000,MATCH($C318,PL4_TONG_HOP!$A$2:$A$5000,0)),"")</f>
        <v/>
      </c>
      <c r="G318" s="17">
        <f>COUNTIFS(FILE_UPLOADS!$B:$B,$A318,FILE_UPLOADS!$D:$D,$C318)</f>
        <v>0</v>
      </c>
      <c r="H318" s="17" t="str">
        <f t="shared" si="1"/>
        <v/>
      </c>
    </row>
    <row r="319" ht="15.75" customHeight="1">
      <c r="A319" s="17" t="s">
        <v>334</v>
      </c>
      <c r="B319" s="17" t="s">
        <v>11</v>
      </c>
      <c r="C319" s="17" t="s">
        <v>93</v>
      </c>
      <c r="D319" s="17" t="s">
        <v>85</v>
      </c>
      <c r="E319" s="17" t="s">
        <v>94</v>
      </c>
      <c r="F319" s="17" t="str">
        <f t="array" ref="F319">IFERROR(INDEX(PL4_TONG_HOP!$L$2:$L$5000,MATCH($C319,PL4_TONG_HOP!$A$2:$A$5000,0)),"")</f>
        <v/>
      </c>
      <c r="G319" s="17">
        <f>COUNTIFS(FILE_UPLOADS!$B:$B,$A319,FILE_UPLOADS!$D:$D,$C319)</f>
        <v>0</v>
      </c>
      <c r="H319" s="17" t="str">
        <f t="shared" si="1"/>
        <v/>
      </c>
    </row>
    <row r="320" ht="15.75" customHeight="1">
      <c r="A320" s="17" t="s">
        <v>334</v>
      </c>
      <c r="B320" s="17" t="s">
        <v>11</v>
      </c>
      <c r="C320" s="17" t="s">
        <v>95</v>
      </c>
      <c r="D320" s="17" t="s">
        <v>96</v>
      </c>
      <c r="E320" s="17" t="s">
        <v>97</v>
      </c>
      <c r="F320" s="17" t="str">
        <f t="array" ref="F320">IFERROR(INDEX(PL4_TONG_HOP!$L$2:$L$5000,MATCH($C320,PL4_TONG_HOP!$A$2:$A$5000,0)),"")</f>
        <v/>
      </c>
      <c r="G320" s="17">
        <f>COUNTIFS(FILE_UPLOADS!$B:$B,$A320,FILE_UPLOADS!$D:$D,$C320)</f>
        <v>0</v>
      </c>
      <c r="H320" s="17" t="str">
        <f t="shared" si="1"/>
        <v/>
      </c>
    </row>
    <row r="321" ht="15.75" customHeight="1">
      <c r="A321" s="17" t="s">
        <v>334</v>
      </c>
      <c r="B321" s="17" t="s">
        <v>11</v>
      </c>
      <c r="C321" s="17" t="s">
        <v>98</v>
      </c>
      <c r="D321" s="17" t="s">
        <v>99</v>
      </c>
      <c r="E321" s="17" t="s">
        <v>100</v>
      </c>
      <c r="F321" s="17" t="str">
        <f t="array" ref="F321">IFERROR(INDEX(PL4_TONG_HOP!$L$2:$L$5000,MATCH($C321,PL4_TONG_HOP!$A$2:$A$5000,0)),"")</f>
        <v/>
      </c>
      <c r="G321" s="17">
        <f>COUNTIFS(FILE_UPLOADS!$B:$B,$A321,FILE_UPLOADS!$D:$D,$C321)</f>
        <v>0</v>
      </c>
      <c r="H321" s="17" t="str">
        <f t="shared" si="1"/>
        <v/>
      </c>
    </row>
    <row r="322" ht="15.75" customHeight="1">
      <c r="A322" s="17" t="s">
        <v>334</v>
      </c>
      <c r="B322" s="17" t="s">
        <v>11</v>
      </c>
      <c r="C322" s="17" t="s">
        <v>101</v>
      </c>
      <c r="D322" s="17" t="s">
        <v>102</v>
      </c>
      <c r="E322" s="17" t="s">
        <v>103</v>
      </c>
      <c r="F322" s="17" t="str">
        <f t="array" ref="F322">IFERROR(INDEX(PL4_TONG_HOP!$L$2:$L$5000,MATCH($C322,PL4_TONG_HOP!$A$2:$A$5000,0)),"")</f>
        <v/>
      </c>
      <c r="G322" s="17">
        <f>COUNTIFS(FILE_UPLOADS!$B:$B,$A322,FILE_UPLOADS!$D:$D,$C322)</f>
        <v>0</v>
      </c>
      <c r="H322" s="17" t="str">
        <f t="shared" si="1"/>
        <v/>
      </c>
    </row>
    <row r="323" ht="15.75" customHeight="1">
      <c r="A323" s="17" t="s">
        <v>334</v>
      </c>
      <c r="B323" s="17" t="s">
        <v>11</v>
      </c>
      <c r="C323" s="17" t="s">
        <v>113</v>
      </c>
      <c r="D323" s="17" t="s">
        <v>114</v>
      </c>
      <c r="E323" s="17" t="s">
        <v>115</v>
      </c>
      <c r="F323" s="17" t="str">
        <f t="array" ref="F323">IFERROR(INDEX(PL4_TONG_HOP!$L$2:$L$5000,MATCH($C323,PL4_TONG_HOP!$A$2:$A$5000,0)),"")</f>
        <v/>
      </c>
      <c r="G323" s="17">
        <f>COUNTIFS(FILE_UPLOADS!$B:$B,$A323,FILE_UPLOADS!$D:$D,$C323)</f>
        <v>0</v>
      </c>
      <c r="H323" s="17" t="str">
        <f t="shared" si="1"/>
        <v/>
      </c>
    </row>
    <row r="324" ht="15.75" customHeight="1">
      <c r="A324" s="17" t="s">
        <v>334</v>
      </c>
      <c r="B324" s="17" t="s">
        <v>11</v>
      </c>
      <c r="C324" s="17" t="s">
        <v>116</v>
      </c>
      <c r="D324" s="17" t="s">
        <v>117</v>
      </c>
      <c r="E324" s="17" t="s">
        <v>118</v>
      </c>
      <c r="F324" s="17" t="str">
        <f t="array" ref="F324">IFERROR(INDEX(PL4_TONG_HOP!$L$2:$L$5000,MATCH($C324,PL4_TONG_HOP!$A$2:$A$5000,0)),"")</f>
        <v/>
      </c>
      <c r="G324" s="17">
        <f>COUNTIFS(FILE_UPLOADS!$B:$B,$A324,FILE_UPLOADS!$D:$D,$C324)</f>
        <v>0</v>
      </c>
      <c r="H324" s="17" t="str">
        <f t="shared" si="1"/>
        <v/>
      </c>
    </row>
    <row r="325" ht="15.75" customHeight="1">
      <c r="A325" s="17" t="s">
        <v>334</v>
      </c>
      <c r="B325" s="17" t="s">
        <v>11</v>
      </c>
      <c r="C325" s="17" t="s">
        <v>119</v>
      </c>
      <c r="D325" s="17" t="s">
        <v>120</v>
      </c>
      <c r="E325" s="17" t="s">
        <v>121</v>
      </c>
      <c r="F325" s="17" t="str">
        <f t="array" ref="F325">IFERROR(INDEX(PL4_TONG_HOP!$L$2:$L$5000,MATCH($C325,PL4_TONG_HOP!$A$2:$A$5000,0)),"")</f>
        <v/>
      </c>
      <c r="G325" s="17">
        <f>COUNTIFS(FILE_UPLOADS!$B:$B,$A325,FILE_UPLOADS!$D:$D,$C325)</f>
        <v>0</v>
      </c>
      <c r="H325" s="17" t="str">
        <f t="shared" si="1"/>
        <v/>
      </c>
    </row>
    <row r="326" ht="15.75" customHeight="1">
      <c r="A326" s="17" t="s">
        <v>334</v>
      </c>
      <c r="B326" s="17" t="s">
        <v>11</v>
      </c>
      <c r="C326" s="17" t="s">
        <v>122</v>
      </c>
      <c r="D326" s="17" t="s">
        <v>123</v>
      </c>
      <c r="E326" s="17" t="s">
        <v>124</v>
      </c>
      <c r="F326" s="17" t="str">
        <f t="array" ref="F326">IFERROR(INDEX(PL4_TONG_HOP!$L$2:$L$5000,MATCH($C326,PL4_TONG_HOP!$A$2:$A$5000,0)),"")</f>
        <v/>
      </c>
      <c r="G326" s="17">
        <f>COUNTIFS(FILE_UPLOADS!$B:$B,$A326,FILE_UPLOADS!$D:$D,$C326)</f>
        <v>0</v>
      </c>
      <c r="H326" s="17" t="str">
        <f t="shared" si="1"/>
        <v/>
      </c>
    </row>
    <row r="327" ht="15.75" customHeight="1">
      <c r="A327" s="17" t="s">
        <v>334</v>
      </c>
      <c r="B327" s="17" t="s">
        <v>11</v>
      </c>
      <c r="C327" s="17" t="s">
        <v>125</v>
      </c>
      <c r="D327" s="17" t="s">
        <v>126</v>
      </c>
      <c r="E327" s="17" t="s">
        <v>127</v>
      </c>
      <c r="F327" s="17" t="str">
        <f t="array" ref="F327">IFERROR(INDEX(PL4_TONG_HOP!$L$2:$L$5000,MATCH($C327,PL4_TONG_HOP!$A$2:$A$5000,0)),"")</f>
        <v/>
      </c>
      <c r="G327" s="17">
        <f>COUNTIFS(FILE_UPLOADS!$B:$B,$A327,FILE_UPLOADS!$D:$D,$C327)</f>
        <v>0</v>
      </c>
      <c r="H327" s="17" t="str">
        <f t="shared" si="1"/>
        <v/>
      </c>
    </row>
    <row r="328" ht="15.75" customHeight="1">
      <c r="A328" s="17" t="s">
        <v>334</v>
      </c>
      <c r="B328" s="17" t="s">
        <v>11</v>
      </c>
      <c r="C328" s="17" t="s">
        <v>128</v>
      </c>
      <c r="D328" s="17" t="s">
        <v>129</v>
      </c>
      <c r="E328" s="17" t="s">
        <v>130</v>
      </c>
      <c r="F328" s="17" t="str">
        <f t="array" ref="F328">IFERROR(INDEX(PL4_TONG_HOP!$L$2:$L$5000,MATCH($C328,PL4_TONG_HOP!$A$2:$A$5000,0)),"")</f>
        <v/>
      </c>
      <c r="G328" s="17">
        <f>COUNTIFS(FILE_UPLOADS!$B:$B,$A328,FILE_UPLOADS!$D:$D,$C328)</f>
        <v>0</v>
      </c>
      <c r="H328" s="17" t="str">
        <f t="shared" si="1"/>
        <v/>
      </c>
    </row>
    <row r="329" ht="15.75" customHeight="1">
      <c r="A329" s="17" t="s">
        <v>334</v>
      </c>
      <c r="B329" s="17" t="s">
        <v>11</v>
      </c>
      <c r="C329" s="17" t="s">
        <v>131</v>
      </c>
      <c r="D329" s="17" t="s">
        <v>132</v>
      </c>
      <c r="E329" s="17" t="s">
        <v>133</v>
      </c>
      <c r="F329" s="17" t="str">
        <f t="array" ref="F329">IFERROR(INDEX(PL4_TONG_HOP!$L$2:$L$5000,MATCH($C329,PL4_TONG_HOP!$A$2:$A$5000,0)),"")</f>
        <v/>
      </c>
      <c r="G329" s="17">
        <f>COUNTIFS(FILE_UPLOADS!$B:$B,$A329,FILE_UPLOADS!$D:$D,$C329)</f>
        <v>0</v>
      </c>
      <c r="H329" s="17" t="str">
        <f t="shared" si="1"/>
        <v/>
      </c>
    </row>
    <row r="330" ht="15.75" customHeight="1">
      <c r="A330" s="17" t="s">
        <v>334</v>
      </c>
      <c r="B330" s="17" t="s">
        <v>11</v>
      </c>
      <c r="C330" s="17" t="s">
        <v>134</v>
      </c>
      <c r="D330" s="17" t="s">
        <v>135</v>
      </c>
      <c r="E330" s="17" t="s">
        <v>136</v>
      </c>
      <c r="F330" s="17" t="str">
        <f t="array" ref="F330">IFERROR(INDEX(PL4_TONG_HOP!$L$2:$L$5000,MATCH($C330,PL4_TONG_HOP!$A$2:$A$5000,0)),"")</f>
        <v/>
      </c>
      <c r="G330" s="17">
        <f>COUNTIFS(FILE_UPLOADS!$B:$B,$A330,FILE_UPLOADS!$D:$D,$C330)</f>
        <v>0</v>
      </c>
      <c r="H330" s="17" t="str">
        <f t="shared" si="1"/>
        <v/>
      </c>
    </row>
    <row r="331" ht="15.75" customHeight="1">
      <c r="A331" s="17" t="s">
        <v>334</v>
      </c>
      <c r="B331" s="17" t="s">
        <v>11</v>
      </c>
      <c r="C331" s="17" t="s">
        <v>140</v>
      </c>
      <c r="D331" s="17" t="s">
        <v>141</v>
      </c>
      <c r="E331" s="17" t="s">
        <v>142</v>
      </c>
      <c r="F331" s="17" t="str">
        <f t="array" ref="F331">IFERROR(INDEX(PL4_TONG_HOP!$L$2:$L$5000,MATCH($C331,PL4_TONG_HOP!$A$2:$A$5000,0)),"")</f>
        <v/>
      </c>
      <c r="G331" s="17">
        <f>COUNTIFS(FILE_UPLOADS!$B:$B,$A331,FILE_UPLOADS!$D:$D,$C331)</f>
        <v>0</v>
      </c>
      <c r="H331" s="17" t="str">
        <f t="shared" si="1"/>
        <v/>
      </c>
    </row>
    <row r="332" ht="15.75" customHeight="1">
      <c r="A332" s="17" t="s">
        <v>334</v>
      </c>
      <c r="B332" s="17" t="s">
        <v>11</v>
      </c>
      <c r="C332" s="17" t="s">
        <v>143</v>
      </c>
      <c r="D332" s="17" t="s">
        <v>144</v>
      </c>
      <c r="E332" s="17" t="s">
        <v>145</v>
      </c>
      <c r="F332" s="17" t="str">
        <f t="array" ref="F332">IFERROR(INDEX(PL4_TONG_HOP!$L$2:$L$5000,MATCH($C332,PL4_TONG_HOP!$A$2:$A$5000,0)),"")</f>
        <v/>
      </c>
      <c r="G332" s="17">
        <f>COUNTIFS(FILE_UPLOADS!$B:$B,$A332,FILE_UPLOADS!$D:$D,$C332)</f>
        <v>0</v>
      </c>
      <c r="H332" s="17" t="str">
        <f t="shared" si="1"/>
        <v/>
      </c>
    </row>
    <row r="333" ht="15.75" customHeight="1">
      <c r="A333" s="17" t="s">
        <v>334</v>
      </c>
      <c r="B333" s="17" t="s">
        <v>11</v>
      </c>
      <c r="C333" s="17" t="s">
        <v>149</v>
      </c>
      <c r="D333" s="17" t="s">
        <v>150</v>
      </c>
      <c r="E333" s="17" t="s">
        <v>151</v>
      </c>
      <c r="F333" s="17" t="str">
        <f t="array" ref="F333">IFERROR(INDEX(PL4_TONG_HOP!$L$2:$L$5000,MATCH($C333,PL4_TONG_HOP!$A$2:$A$5000,0)),"")</f>
        <v/>
      </c>
      <c r="G333" s="17">
        <f>COUNTIFS(FILE_UPLOADS!$B:$B,$A333,FILE_UPLOADS!$D:$D,$C333)</f>
        <v>0</v>
      </c>
      <c r="H333" s="17" t="str">
        <f t="shared" si="1"/>
        <v/>
      </c>
    </row>
    <row r="334" ht="15.75" customHeight="1">
      <c r="A334" s="17" t="s">
        <v>334</v>
      </c>
      <c r="B334" s="17" t="s">
        <v>11</v>
      </c>
      <c r="C334" s="17" t="s">
        <v>152</v>
      </c>
      <c r="D334" s="17" t="s">
        <v>153</v>
      </c>
      <c r="E334" s="17" t="s">
        <v>154</v>
      </c>
      <c r="F334" s="17" t="str">
        <f t="array" ref="F334">IFERROR(INDEX(PL4_TONG_HOP!$L$2:$L$5000,MATCH($C334,PL4_TONG_HOP!$A$2:$A$5000,0)),"")</f>
        <v/>
      </c>
      <c r="G334" s="17">
        <f>COUNTIFS(FILE_UPLOADS!$B:$B,$A334,FILE_UPLOADS!$D:$D,$C334)</f>
        <v>0</v>
      </c>
      <c r="H334" s="17" t="str">
        <f t="shared" si="1"/>
        <v/>
      </c>
    </row>
    <row r="335" ht="15.75" customHeight="1">
      <c r="A335" s="17" t="s">
        <v>334</v>
      </c>
      <c r="B335" s="17" t="s">
        <v>11</v>
      </c>
      <c r="C335" s="17" t="s">
        <v>155</v>
      </c>
      <c r="D335" s="17" t="s">
        <v>156</v>
      </c>
      <c r="E335" s="17" t="s">
        <v>157</v>
      </c>
      <c r="F335" s="17" t="str">
        <f t="array" ref="F335">IFERROR(INDEX(PL4_TONG_HOP!$L$2:$L$5000,MATCH($C335,PL4_TONG_HOP!$A$2:$A$5000,0)),"")</f>
        <v/>
      </c>
      <c r="G335" s="17">
        <f>COUNTIFS(FILE_UPLOADS!$B:$B,$A335,FILE_UPLOADS!$D:$D,$C335)</f>
        <v>0</v>
      </c>
      <c r="H335" s="17" t="str">
        <f t="shared" si="1"/>
        <v/>
      </c>
    </row>
    <row r="336" ht="15.75" customHeight="1">
      <c r="A336" s="17" t="s">
        <v>334</v>
      </c>
      <c r="B336" s="17" t="s">
        <v>11</v>
      </c>
      <c r="C336" s="17" t="s">
        <v>161</v>
      </c>
      <c r="D336" s="17" t="s">
        <v>162</v>
      </c>
      <c r="E336" s="17" t="s">
        <v>163</v>
      </c>
      <c r="F336" s="17" t="str">
        <f t="array" ref="F336">IFERROR(INDEX(PL4_TONG_HOP!$L$2:$L$5000,MATCH($C336,PL4_TONG_HOP!$A$2:$A$5000,0)),"")</f>
        <v/>
      </c>
      <c r="G336" s="17">
        <f>COUNTIFS(FILE_UPLOADS!$B:$B,$A336,FILE_UPLOADS!$D:$D,$C336)</f>
        <v>0</v>
      </c>
      <c r="H336" s="17" t="str">
        <f t="shared" si="1"/>
        <v/>
      </c>
    </row>
    <row r="337" ht="15.75" customHeight="1">
      <c r="A337" s="17" t="s">
        <v>334</v>
      </c>
      <c r="B337" s="17" t="s">
        <v>11</v>
      </c>
      <c r="C337" s="17" t="s">
        <v>164</v>
      </c>
      <c r="D337" s="17" t="s">
        <v>165</v>
      </c>
      <c r="E337" s="17" t="s">
        <v>166</v>
      </c>
      <c r="F337" s="17" t="str">
        <f t="array" ref="F337">IFERROR(INDEX(PL4_TONG_HOP!$L$2:$L$5000,MATCH($C337,PL4_TONG_HOP!$A$2:$A$5000,0)),"")</f>
        <v/>
      </c>
      <c r="G337" s="17">
        <f>COUNTIFS(FILE_UPLOADS!$B:$B,$A337,FILE_UPLOADS!$D:$D,$C337)</f>
        <v>0</v>
      </c>
      <c r="H337" s="17" t="str">
        <f t="shared" si="1"/>
        <v/>
      </c>
    </row>
    <row r="338" ht="15.75" customHeight="1">
      <c r="A338" s="17" t="s">
        <v>334</v>
      </c>
      <c r="B338" s="17" t="s">
        <v>11</v>
      </c>
      <c r="C338" s="17" t="s">
        <v>167</v>
      </c>
      <c r="D338" s="17" t="s">
        <v>168</v>
      </c>
      <c r="E338" s="17" t="s">
        <v>169</v>
      </c>
      <c r="F338" s="17" t="str">
        <f t="array" ref="F338">IFERROR(INDEX(PL4_TONG_HOP!$L$2:$L$5000,MATCH($C338,PL4_TONG_HOP!$A$2:$A$5000,0)),"")</f>
        <v/>
      </c>
      <c r="G338" s="17">
        <f>COUNTIFS(FILE_UPLOADS!$B:$B,$A338,FILE_UPLOADS!$D:$D,$C338)</f>
        <v>0</v>
      </c>
      <c r="H338" s="17" t="str">
        <f t="shared" si="1"/>
        <v/>
      </c>
    </row>
    <row r="339" ht="15.75" customHeight="1">
      <c r="A339" s="17" t="s">
        <v>334</v>
      </c>
      <c r="B339" s="17" t="s">
        <v>11</v>
      </c>
      <c r="C339" s="17" t="s">
        <v>173</v>
      </c>
      <c r="D339" s="17" t="s">
        <v>174</v>
      </c>
      <c r="E339" s="17" t="s">
        <v>175</v>
      </c>
      <c r="F339" s="17" t="str">
        <f t="array" ref="F339">IFERROR(INDEX(PL4_TONG_HOP!$L$2:$L$5000,MATCH($C339,PL4_TONG_HOP!$A$2:$A$5000,0)),"")</f>
        <v/>
      </c>
      <c r="G339" s="17">
        <f>COUNTIFS(FILE_UPLOADS!$B:$B,$A339,FILE_UPLOADS!$D:$D,$C339)</f>
        <v>0</v>
      </c>
      <c r="H339" s="17" t="str">
        <f t="shared" si="1"/>
        <v/>
      </c>
    </row>
    <row r="340" ht="15.75" customHeight="1">
      <c r="A340" s="17" t="s">
        <v>334</v>
      </c>
      <c r="B340" s="17" t="s">
        <v>11</v>
      </c>
      <c r="C340" s="17" t="s">
        <v>176</v>
      </c>
      <c r="D340" s="17" t="s">
        <v>177</v>
      </c>
      <c r="E340" s="17" t="s">
        <v>178</v>
      </c>
      <c r="F340" s="17" t="str">
        <f t="array" ref="F340">IFERROR(INDEX(PL4_TONG_HOP!$L$2:$L$5000,MATCH($C340,PL4_TONG_HOP!$A$2:$A$5000,0)),"")</f>
        <v/>
      </c>
      <c r="G340" s="17">
        <f>COUNTIFS(FILE_UPLOADS!$B:$B,$A340,FILE_UPLOADS!$D:$D,$C340)</f>
        <v>0</v>
      </c>
      <c r="H340" s="17" t="str">
        <f t="shared" si="1"/>
        <v/>
      </c>
    </row>
    <row r="341" ht="15.75" customHeight="1">
      <c r="A341" s="17" t="s">
        <v>334</v>
      </c>
      <c r="B341" s="17" t="s">
        <v>11</v>
      </c>
      <c r="C341" s="17" t="s">
        <v>212</v>
      </c>
      <c r="D341" s="17" t="s">
        <v>213</v>
      </c>
      <c r="E341" s="17" t="s">
        <v>214</v>
      </c>
      <c r="F341" s="17" t="str">
        <f t="array" ref="F341">IFERROR(INDEX(PL4_TONG_HOP!$L$2:$L$5000,MATCH($C341,PL4_TONG_HOP!$A$2:$A$5000,0)),"")</f>
        <v/>
      </c>
      <c r="G341" s="17">
        <f>COUNTIFS(FILE_UPLOADS!$B:$B,$A341,FILE_UPLOADS!$D:$D,$C341)</f>
        <v>0</v>
      </c>
      <c r="H341" s="17" t="str">
        <f t="shared" si="1"/>
        <v/>
      </c>
    </row>
    <row r="342" ht="15.75" customHeight="1">
      <c r="A342" s="17" t="s">
        <v>334</v>
      </c>
      <c r="B342" s="17" t="s">
        <v>11</v>
      </c>
      <c r="C342" s="17" t="s">
        <v>215</v>
      </c>
      <c r="D342" s="17" t="s">
        <v>216</v>
      </c>
      <c r="E342" s="17" t="s">
        <v>217</v>
      </c>
      <c r="F342" s="17" t="str">
        <f t="array" ref="F342">IFERROR(INDEX(PL4_TONG_HOP!$L$2:$L$5000,MATCH($C342,PL4_TONG_HOP!$A$2:$A$5000,0)),"")</f>
        <v/>
      </c>
      <c r="G342" s="17">
        <f>COUNTIFS(FILE_UPLOADS!$B:$B,$A342,FILE_UPLOADS!$D:$D,$C342)</f>
        <v>0</v>
      </c>
      <c r="H342" s="17" t="str">
        <f t="shared" si="1"/>
        <v/>
      </c>
    </row>
    <row r="343" ht="15.75" customHeight="1">
      <c r="A343" s="17" t="s">
        <v>334</v>
      </c>
      <c r="B343" s="17" t="s">
        <v>11</v>
      </c>
      <c r="C343" s="17" t="s">
        <v>227</v>
      </c>
      <c r="D343" s="17" t="s">
        <v>228</v>
      </c>
      <c r="E343" s="17" t="s">
        <v>229</v>
      </c>
      <c r="F343" s="17" t="str">
        <f t="array" ref="F343">IFERROR(INDEX(PL4_TONG_HOP!$L$2:$L$5000,MATCH($C343,PL4_TONG_HOP!$A$2:$A$5000,0)),"")</f>
        <v/>
      </c>
      <c r="G343" s="17">
        <f>COUNTIFS(FILE_UPLOADS!$B:$B,$A343,FILE_UPLOADS!$D:$D,$C343)</f>
        <v>0</v>
      </c>
      <c r="H343" s="17" t="str">
        <f t="shared" si="1"/>
        <v/>
      </c>
    </row>
    <row r="344" ht="15.75" customHeight="1">
      <c r="A344" s="17" t="s">
        <v>334</v>
      </c>
      <c r="B344" s="17" t="s">
        <v>11</v>
      </c>
      <c r="C344" s="17" t="s">
        <v>230</v>
      </c>
      <c r="D344" s="17" t="s">
        <v>231</v>
      </c>
      <c r="E344" s="17" t="s">
        <v>232</v>
      </c>
      <c r="F344" s="17" t="str">
        <f t="array" ref="F344">IFERROR(INDEX(PL4_TONG_HOP!$L$2:$L$5000,MATCH($C344,PL4_TONG_HOP!$A$2:$A$5000,0)),"")</f>
        <v/>
      </c>
      <c r="G344" s="17">
        <f>COUNTIFS(FILE_UPLOADS!$B:$B,$A344,FILE_UPLOADS!$D:$D,$C344)</f>
        <v>0</v>
      </c>
      <c r="H344" s="17" t="str">
        <f t="shared" si="1"/>
        <v/>
      </c>
    </row>
    <row r="345" ht="15.75" customHeight="1">
      <c r="A345" s="17" t="s">
        <v>334</v>
      </c>
      <c r="B345" s="17" t="s">
        <v>11</v>
      </c>
      <c r="C345" s="17" t="s">
        <v>236</v>
      </c>
      <c r="D345" s="17" t="s">
        <v>237</v>
      </c>
      <c r="E345" s="17" t="s">
        <v>238</v>
      </c>
      <c r="F345" s="17" t="str">
        <f t="array" ref="F345">IFERROR(INDEX(PL4_TONG_HOP!$L$2:$L$5000,MATCH($C345,PL4_TONG_HOP!$A$2:$A$5000,0)),"")</f>
        <v/>
      </c>
      <c r="G345" s="17">
        <f>COUNTIFS(FILE_UPLOADS!$B:$B,$A345,FILE_UPLOADS!$D:$D,$C345)</f>
        <v>0</v>
      </c>
      <c r="H345" s="17" t="str">
        <f t="shared" si="1"/>
        <v/>
      </c>
    </row>
    <row r="346" ht="15.75" customHeight="1">
      <c r="A346" s="17" t="s">
        <v>334</v>
      </c>
      <c r="B346" s="17" t="s">
        <v>11</v>
      </c>
      <c r="C346" s="17" t="s">
        <v>239</v>
      </c>
      <c r="D346" s="17" t="s">
        <v>240</v>
      </c>
      <c r="E346" s="17" t="s">
        <v>241</v>
      </c>
      <c r="F346" s="17" t="str">
        <f t="array" ref="F346">IFERROR(INDEX(PL4_TONG_HOP!$L$2:$L$5000,MATCH($C346,PL4_TONG_HOP!$A$2:$A$5000,0)),"")</f>
        <v/>
      </c>
      <c r="G346" s="17">
        <f>COUNTIFS(FILE_UPLOADS!$B:$B,$A346,FILE_UPLOADS!$D:$D,$C346)</f>
        <v>0</v>
      </c>
      <c r="H346" s="17" t="str">
        <f t="shared" si="1"/>
        <v/>
      </c>
    </row>
    <row r="347" ht="15.75" customHeight="1">
      <c r="A347" s="17" t="s">
        <v>334</v>
      </c>
      <c r="B347" s="17" t="s">
        <v>11</v>
      </c>
      <c r="C347" s="17" t="s">
        <v>242</v>
      </c>
      <c r="D347" s="17" t="s">
        <v>243</v>
      </c>
      <c r="E347" s="17" t="s">
        <v>244</v>
      </c>
      <c r="F347" s="17" t="str">
        <f t="array" ref="F347">IFERROR(INDEX(PL4_TONG_HOP!$L$2:$L$5000,MATCH($C347,PL4_TONG_HOP!$A$2:$A$5000,0)),"")</f>
        <v/>
      </c>
      <c r="G347" s="17">
        <f>COUNTIFS(FILE_UPLOADS!$B:$B,$A347,FILE_UPLOADS!$D:$D,$C347)</f>
        <v>0</v>
      </c>
      <c r="H347" s="17" t="str">
        <f t="shared" si="1"/>
        <v/>
      </c>
    </row>
    <row r="348" ht="15.75" customHeight="1">
      <c r="A348" s="17" t="s">
        <v>334</v>
      </c>
      <c r="B348" s="17" t="s">
        <v>11</v>
      </c>
      <c r="C348" s="17" t="s">
        <v>248</v>
      </c>
      <c r="D348" s="17" t="s">
        <v>249</v>
      </c>
      <c r="E348" s="17" t="s">
        <v>250</v>
      </c>
      <c r="F348" s="17" t="str">
        <f t="array" ref="F348">IFERROR(INDEX(PL4_TONG_HOP!$L$2:$L$5000,MATCH($C348,PL4_TONG_HOP!$A$2:$A$5000,0)),"")</f>
        <v/>
      </c>
      <c r="G348" s="17">
        <f>COUNTIFS(FILE_UPLOADS!$B:$B,$A348,FILE_UPLOADS!$D:$D,$C348)</f>
        <v>0</v>
      </c>
      <c r="H348" s="17" t="str">
        <f t="shared" si="1"/>
        <v/>
      </c>
    </row>
    <row r="349" ht="15.75" customHeight="1">
      <c r="A349" s="17" t="s">
        <v>334</v>
      </c>
      <c r="B349" s="17" t="s">
        <v>11</v>
      </c>
      <c r="C349" s="17" t="s">
        <v>251</v>
      </c>
      <c r="D349" s="17" t="s">
        <v>252</v>
      </c>
      <c r="E349" s="17" t="s">
        <v>253</v>
      </c>
      <c r="F349" s="17" t="str">
        <f t="array" ref="F349">IFERROR(INDEX(PL4_TONG_HOP!$L$2:$L$5000,MATCH($C349,PL4_TONG_HOP!$A$2:$A$5000,0)),"")</f>
        <v/>
      </c>
      <c r="G349" s="17">
        <f>COUNTIFS(FILE_UPLOADS!$B:$B,$A349,FILE_UPLOADS!$D:$D,$C349)</f>
        <v>0</v>
      </c>
      <c r="H349" s="17" t="str">
        <f t="shared" si="1"/>
        <v/>
      </c>
    </row>
    <row r="350" ht="15.75" customHeight="1">
      <c r="A350" s="17" t="s">
        <v>334</v>
      </c>
      <c r="B350" s="17" t="s">
        <v>11</v>
      </c>
      <c r="C350" s="17" t="s">
        <v>254</v>
      </c>
      <c r="D350" s="17" t="s">
        <v>255</v>
      </c>
      <c r="E350" s="17" t="s">
        <v>256</v>
      </c>
      <c r="F350" s="17" t="str">
        <f t="array" ref="F350">IFERROR(INDEX(PL4_TONG_HOP!$L$2:$L$5000,MATCH($C350,PL4_TONG_HOP!$A$2:$A$5000,0)),"")</f>
        <v/>
      </c>
      <c r="G350" s="17">
        <f>COUNTIFS(FILE_UPLOADS!$B:$B,$A350,FILE_UPLOADS!$D:$D,$C350)</f>
        <v>0</v>
      </c>
      <c r="H350" s="17" t="str">
        <f t="shared" si="1"/>
        <v/>
      </c>
    </row>
    <row r="351" ht="15.75" customHeight="1">
      <c r="A351" s="17" t="s">
        <v>334</v>
      </c>
      <c r="B351" s="17" t="s">
        <v>11</v>
      </c>
      <c r="C351" s="17" t="s">
        <v>260</v>
      </c>
      <c r="D351" s="17" t="s">
        <v>261</v>
      </c>
      <c r="E351" s="17" t="s">
        <v>262</v>
      </c>
      <c r="F351" s="17" t="str">
        <f t="array" ref="F351">IFERROR(INDEX(PL4_TONG_HOP!$L$2:$L$5000,MATCH($C351,PL4_TONG_HOP!$A$2:$A$5000,0)),"")</f>
        <v/>
      </c>
      <c r="G351" s="17">
        <f>COUNTIFS(FILE_UPLOADS!$B:$B,$A351,FILE_UPLOADS!$D:$D,$C351)</f>
        <v>0</v>
      </c>
      <c r="H351" s="17" t="str">
        <f t="shared" si="1"/>
        <v/>
      </c>
    </row>
    <row r="352" ht="15.75" customHeight="1">
      <c r="A352" s="17" t="s">
        <v>334</v>
      </c>
      <c r="B352" s="17" t="s">
        <v>11</v>
      </c>
      <c r="C352" s="17" t="s">
        <v>263</v>
      </c>
      <c r="D352" s="17" t="s">
        <v>264</v>
      </c>
      <c r="E352" s="17" t="s">
        <v>265</v>
      </c>
      <c r="F352" s="17" t="str">
        <f t="array" ref="F352">IFERROR(INDEX(PL4_TONG_HOP!$L$2:$L$5000,MATCH($C352,PL4_TONG_HOP!$A$2:$A$5000,0)),"")</f>
        <v/>
      </c>
      <c r="G352" s="17">
        <f>COUNTIFS(FILE_UPLOADS!$B:$B,$A352,FILE_UPLOADS!$D:$D,$C352)</f>
        <v>0</v>
      </c>
      <c r="H352" s="17" t="str">
        <f t="shared" si="1"/>
        <v/>
      </c>
    </row>
    <row r="353" ht="15.75" customHeight="1">
      <c r="A353" s="17" t="s">
        <v>334</v>
      </c>
      <c r="B353" s="17" t="s">
        <v>11</v>
      </c>
      <c r="C353" s="17" t="s">
        <v>266</v>
      </c>
      <c r="D353" s="17" t="s">
        <v>267</v>
      </c>
      <c r="E353" s="17" t="s">
        <v>268</v>
      </c>
      <c r="F353" s="17" t="str">
        <f t="array" ref="F353">IFERROR(INDEX(PL4_TONG_HOP!$L$2:$L$5000,MATCH($C353,PL4_TONG_HOP!$A$2:$A$5000,0)),"")</f>
        <v/>
      </c>
      <c r="G353" s="17">
        <f>COUNTIFS(FILE_UPLOADS!$B:$B,$A353,FILE_UPLOADS!$D:$D,$C353)</f>
        <v>0</v>
      </c>
      <c r="H353" s="17" t="str">
        <f t="shared" si="1"/>
        <v/>
      </c>
    </row>
    <row r="354" ht="15.75" customHeight="1">
      <c r="A354" s="17" t="s">
        <v>334</v>
      </c>
      <c r="B354" s="17" t="s">
        <v>11</v>
      </c>
      <c r="C354" s="17" t="s">
        <v>269</v>
      </c>
      <c r="D354" s="17" t="s">
        <v>270</v>
      </c>
      <c r="E354" s="17" t="s">
        <v>271</v>
      </c>
      <c r="F354" s="17" t="str">
        <f t="array" ref="F354">IFERROR(INDEX(PL4_TONG_HOP!$L$2:$L$5000,MATCH($C354,PL4_TONG_HOP!$A$2:$A$5000,0)),"")</f>
        <v/>
      </c>
      <c r="G354" s="17">
        <f>COUNTIFS(FILE_UPLOADS!$B:$B,$A354,FILE_UPLOADS!$D:$D,$C354)</f>
        <v>0</v>
      </c>
      <c r="H354" s="17" t="str">
        <f t="shared" si="1"/>
        <v/>
      </c>
    </row>
    <row r="355" ht="15.75" customHeight="1">
      <c r="A355" s="17" t="s">
        <v>334</v>
      </c>
      <c r="B355" s="17" t="s">
        <v>11</v>
      </c>
      <c r="C355" s="17" t="s">
        <v>272</v>
      </c>
      <c r="D355" s="17" t="s">
        <v>273</v>
      </c>
      <c r="E355" s="17" t="s">
        <v>274</v>
      </c>
      <c r="F355" s="17" t="str">
        <f t="array" ref="F355">IFERROR(INDEX(PL4_TONG_HOP!$L$2:$L$5000,MATCH($C355,PL4_TONG_HOP!$A$2:$A$5000,0)),"")</f>
        <v/>
      </c>
      <c r="G355" s="17">
        <f>COUNTIFS(FILE_UPLOADS!$B:$B,$A355,FILE_UPLOADS!$D:$D,$C355)</f>
        <v>0</v>
      </c>
      <c r="H355" s="17" t="str">
        <f t="shared" si="1"/>
        <v/>
      </c>
    </row>
    <row r="356" ht="15.75" customHeight="1">
      <c r="A356" s="17" t="s">
        <v>334</v>
      </c>
      <c r="B356" s="17" t="s">
        <v>11</v>
      </c>
      <c r="C356" s="17" t="s">
        <v>275</v>
      </c>
      <c r="D356" s="17" t="s">
        <v>276</v>
      </c>
      <c r="E356" s="17" t="s">
        <v>277</v>
      </c>
      <c r="F356" s="17" t="str">
        <f t="array" ref="F356">IFERROR(INDEX(PL4_TONG_HOP!$L$2:$L$5000,MATCH($C356,PL4_TONG_HOP!$A$2:$A$5000,0)),"")</f>
        <v/>
      </c>
      <c r="G356" s="17">
        <f>COUNTIFS(FILE_UPLOADS!$B:$B,$A356,FILE_UPLOADS!$D:$D,$C356)</f>
        <v>0</v>
      </c>
      <c r="H356" s="17" t="str">
        <f t="shared" si="1"/>
        <v/>
      </c>
    </row>
    <row r="357" ht="15.75" customHeight="1">
      <c r="A357" s="17" t="s">
        <v>334</v>
      </c>
      <c r="B357" s="17" t="s">
        <v>11</v>
      </c>
      <c r="C357" s="17" t="s">
        <v>278</v>
      </c>
      <c r="D357" s="17" t="s">
        <v>279</v>
      </c>
      <c r="E357" s="17" t="s">
        <v>280</v>
      </c>
      <c r="F357" s="17" t="str">
        <f t="array" ref="F357">IFERROR(INDEX(PL4_TONG_HOP!$L$2:$L$5000,MATCH($C357,PL4_TONG_HOP!$A$2:$A$5000,0)),"")</f>
        <v/>
      </c>
      <c r="G357" s="17">
        <f>COUNTIFS(FILE_UPLOADS!$B:$B,$A357,FILE_UPLOADS!$D:$D,$C357)</f>
        <v>0</v>
      </c>
      <c r="H357" s="17" t="str">
        <f t="shared" si="1"/>
        <v/>
      </c>
    </row>
    <row r="358" ht="15.75" customHeight="1">
      <c r="A358" s="17" t="s">
        <v>334</v>
      </c>
      <c r="B358" s="17" t="s">
        <v>11</v>
      </c>
      <c r="C358" s="17" t="s">
        <v>281</v>
      </c>
      <c r="D358" s="17" t="s">
        <v>282</v>
      </c>
      <c r="E358" s="17" t="s">
        <v>283</v>
      </c>
      <c r="F358" s="17" t="str">
        <f t="array" ref="F358">IFERROR(INDEX(PL4_TONG_HOP!$L$2:$L$5000,MATCH($C358,PL4_TONG_HOP!$A$2:$A$5000,0)),"")</f>
        <v/>
      </c>
      <c r="G358" s="17">
        <f>COUNTIFS(FILE_UPLOADS!$B:$B,$A358,FILE_UPLOADS!$D:$D,$C358)</f>
        <v>0</v>
      </c>
      <c r="H358" s="17" t="str">
        <f t="shared" si="1"/>
        <v/>
      </c>
    </row>
    <row r="359" ht="15.75" customHeight="1">
      <c r="A359" s="17" t="s">
        <v>334</v>
      </c>
      <c r="B359" s="17" t="s">
        <v>11</v>
      </c>
      <c r="C359" s="17" t="s">
        <v>290</v>
      </c>
      <c r="D359" s="17" t="s">
        <v>291</v>
      </c>
      <c r="E359" s="17" t="s">
        <v>292</v>
      </c>
      <c r="F359" s="17" t="str">
        <f t="array" ref="F359">IFERROR(INDEX(PL4_TONG_HOP!$L$2:$L$5000,MATCH($C359,PL4_TONG_HOP!$A$2:$A$5000,0)),"")</f>
        <v/>
      </c>
      <c r="G359" s="17">
        <f>COUNTIFS(FILE_UPLOADS!$B:$B,$A359,FILE_UPLOADS!$D:$D,$C359)</f>
        <v>0</v>
      </c>
      <c r="H359" s="17" t="str">
        <f t="shared" si="1"/>
        <v/>
      </c>
    </row>
    <row r="360" ht="15.75" customHeight="1">
      <c r="A360" s="17" t="s">
        <v>334</v>
      </c>
      <c r="B360" s="17" t="s">
        <v>11</v>
      </c>
      <c r="C360" s="17" t="s">
        <v>293</v>
      </c>
      <c r="D360" s="17" t="s">
        <v>294</v>
      </c>
      <c r="E360" s="17" t="s">
        <v>295</v>
      </c>
      <c r="F360" s="17" t="str">
        <f t="array" ref="F360">IFERROR(INDEX(PL4_TONG_HOP!$L$2:$L$5000,MATCH($C360,PL4_TONG_HOP!$A$2:$A$5000,0)),"")</f>
        <v/>
      </c>
      <c r="G360" s="17">
        <f>COUNTIFS(FILE_UPLOADS!$B:$B,$A360,FILE_UPLOADS!$D:$D,$C360)</f>
        <v>0</v>
      </c>
      <c r="H360" s="17" t="str">
        <f t="shared" si="1"/>
        <v/>
      </c>
    </row>
    <row r="361" ht="15.75" customHeight="1">
      <c r="A361" s="17" t="s">
        <v>334</v>
      </c>
      <c r="B361" s="17" t="s">
        <v>11</v>
      </c>
      <c r="C361" s="17" t="s">
        <v>299</v>
      </c>
      <c r="D361" s="17" t="s">
        <v>300</v>
      </c>
      <c r="E361" s="17" t="s">
        <v>301</v>
      </c>
      <c r="F361" s="17" t="str">
        <f t="array" ref="F361">IFERROR(INDEX(PL4_TONG_HOP!$L$2:$L$5000,MATCH($C361,PL4_TONG_HOP!$A$2:$A$5000,0)),"")</f>
        <v/>
      </c>
      <c r="G361" s="17">
        <f>COUNTIFS(FILE_UPLOADS!$B:$B,$A361,FILE_UPLOADS!$D:$D,$C361)</f>
        <v>0</v>
      </c>
      <c r="H361" s="17" t="str">
        <f t="shared" si="1"/>
        <v/>
      </c>
    </row>
    <row r="362" ht="15.75" customHeight="1">
      <c r="A362" s="17" t="s">
        <v>334</v>
      </c>
      <c r="B362" s="17" t="s">
        <v>11</v>
      </c>
      <c r="C362" s="17" t="s">
        <v>302</v>
      </c>
      <c r="D362" s="17" t="s">
        <v>303</v>
      </c>
      <c r="E362" s="17" t="s">
        <v>304</v>
      </c>
      <c r="F362" s="17" t="str">
        <f t="array" ref="F362">IFERROR(INDEX(PL4_TONG_HOP!$L$2:$L$5000,MATCH($C362,PL4_TONG_HOP!$A$2:$A$5000,0)),"")</f>
        <v/>
      </c>
      <c r="G362" s="17">
        <f>COUNTIFS(FILE_UPLOADS!$B:$B,$A362,FILE_UPLOADS!$D:$D,$C362)</f>
        <v>0</v>
      </c>
      <c r="H362" s="17" t="str">
        <f t="shared" si="1"/>
        <v/>
      </c>
    </row>
    <row r="363" ht="15.75" customHeight="1">
      <c r="A363" s="17" t="s">
        <v>334</v>
      </c>
      <c r="B363" s="17" t="s">
        <v>11</v>
      </c>
      <c r="C363" s="17" t="s">
        <v>308</v>
      </c>
      <c r="D363" s="17" t="s">
        <v>309</v>
      </c>
      <c r="E363" s="17" t="s">
        <v>310</v>
      </c>
      <c r="F363" s="17" t="str">
        <f t="array" ref="F363">IFERROR(INDEX(PL4_TONG_HOP!$L$2:$L$5000,MATCH($C363,PL4_TONG_HOP!$A$2:$A$5000,0)),"")</f>
        <v/>
      </c>
      <c r="G363" s="17">
        <f>COUNTIFS(FILE_UPLOADS!$B:$B,$A363,FILE_UPLOADS!$D:$D,$C363)</f>
        <v>0</v>
      </c>
      <c r="H363" s="17" t="str">
        <f t="shared" si="1"/>
        <v/>
      </c>
    </row>
    <row r="364" ht="15.75" customHeight="1">
      <c r="A364" s="17" t="s">
        <v>334</v>
      </c>
      <c r="B364" s="17" t="s">
        <v>11</v>
      </c>
      <c r="C364" s="17" t="s">
        <v>311</v>
      </c>
      <c r="D364" s="17" t="s">
        <v>312</v>
      </c>
      <c r="E364" s="17" t="s">
        <v>313</v>
      </c>
      <c r="F364" s="17" t="str">
        <f t="array" ref="F364">IFERROR(INDEX(PL4_TONG_HOP!$L$2:$L$5000,MATCH($C364,PL4_TONG_HOP!$A$2:$A$5000,0)),"")</f>
        <v/>
      </c>
      <c r="G364" s="17">
        <f>COUNTIFS(FILE_UPLOADS!$B:$B,$A364,FILE_UPLOADS!$D:$D,$C364)</f>
        <v>0</v>
      </c>
      <c r="H364" s="17" t="str">
        <f t="shared" si="1"/>
        <v/>
      </c>
    </row>
    <row r="365" ht="15.75" customHeight="1">
      <c r="A365" s="17" t="s">
        <v>334</v>
      </c>
      <c r="B365" s="17" t="s">
        <v>11</v>
      </c>
      <c r="C365" s="17" t="s">
        <v>314</v>
      </c>
      <c r="D365" s="17" t="s">
        <v>315</v>
      </c>
      <c r="E365" s="17" t="s">
        <v>316</v>
      </c>
      <c r="F365" s="17" t="str">
        <f t="array" ref="F365">IFERROR(INDEX(PL4_TONG_HOP!$L$2:$L$5000,MATCH($C365,PL4_TONG_HOP!$A$2:$A$5000,0)),"")</f>
        <v/>
      </c>
      <c r="G365" s="17">
        <f>COUNTIFS(FILE_UPLOADS!$B:$B,$A365,FILE_UPLOADS!$D:$D,$C365)</f>
        <v>0</v>
      </c>
      <c r="H365" s="17" t="str">
        <f t="shared" si="1"/>
        <v/>
      </c>
    </row>
    <row r="366" ht="15.75" customHeight="1">
      <c r="A366" s="17" t="s">
        <v>335</v>
      </c>
      <c r="B366" s="17" t="s">
        <v>12</v>
      </c>
      <c r="C366" s="17" t="s">
        <v>46</v>
      </c>
      <c r="D366" s="17" t="s">
        <v>47</v>
      </c>
      <c r="E366" s="17" t="s">
        <v>48</v>
      </c>
      <c r="F366" s="17" t="str">
        <f t="array" ref="F366">IFERROR(INDEX(PL4_TONG_HOP!$M$2:$M$5000,MATCH($C366,PL4_TONG_HOP!$A$2:$A$5000,0)),"")</f>
        <v/>
      </c>
      <c r="G366" s="17">
        <f>COUNTIFS(FILE_UPLOADS!$B:$B,$A366,FILE_UPLOADS!$D:$D,$C366)</f>
        <v>0</v>
      </c>
      <c r="H366" s="17" t="str">
        <f t="shared" si="1"/>
        <v/>
      </c>
    </row>
    <row r="367" ht="15.75" customHeight="1">
      <c r="A367" s="17" t="s">
        <v>335</v>
      </c>
      <c r="B367" s="17" t="s">
        <v>12</v>
      </c>
      <c r="C367" s="17" t="s">
        <v>78</v>
      </c>
      <c r="D367" s="17" t="s">
        <v>79</v>
      </c>
      <c r="E367" s="17" t="s">
        <v>80</v>
      </c>
      <c r="F367" s="17" t="str">
        <f t="array" ref="F367">IFERROR(INDEX(PL4_TONG_HOP!$M$2:$M$5000,MATCH($C367,PL4_TONG_HOP!$A$2:$A$5000,0)),"")</f>
        <v/>
      </c>
      <c r="G367" s="17">
        <f>COUNTIFS(FILE_UPLOADS!$B:$B,$A367,FILE_UPLOADS!$D:$D,$C367)</f>
        <v>0</v>
      </c>
      <c r="H367" s="17" t="str">
        <f t="shared" si="1"/>
        <v/>
      </c>
    </row>
    <row r="368" ht="15.75" customHeight="1">
      <c r="A368" s="17" t="s">
        <v>335</v>
      </c>
      <c r="B368" s="17" t="s">
        <v>12</v>
      </c>
      <c r="C368" s="17" t="s">
        <v>81</v>
      </c>
      <c r="D368" s="17" t="s">
        <v>82</v>
      </c>
      <c r="E368" s="17" t="s">
        <v>83</v>
      </c>
      <c r="F368" s="17" t="str">
        <f t="array" ref="F368">IFERROR(INDEX(PL4_TONG_HOP!$M$2:$M$5000,MATCH($C368,PL4_TONG_HOP!$A$2:$A$5000,0)),"")</f>
        <v/>
      </c>
      <c r="G368" s="17">
        <f>COUNTIFS(FILE_UPLOADS!$B:$B,$A368,FILE_UPLOADS!$D:$D,$C368)</f>
        <v>0</v>
      </c>
      <c r="H368" s="17" t="str">
        <f t="shared" si="1"/>
        <v/>
      </c>
    </row>
    <row r="369" ht="15.75" customHeight="1">
      <c r="A369" s="17" t="s">
        <v>335</v>
      </c>
      <c r="B369" s="17" t="s">
        <v>12</v>
      </c>
      <c r="C369" s="17" t="s">
        <v>87</v>
      </c>
      <c r="D369" s="17" t="s">
        <v>88</v>
      </c>
      <c r="E369" s="17" t="s">
        <v>89</v>
      </c>
      <c r="F369" s="17" t="str">
        <f t="array" ref="F369">IFERROR(INDEX(PL4_TONG_HOP!$M$2:$M$5000,MATCH($C369,PL4_TONG_HOP!$A$2:$A$5000,0)),"")</f>
        <v/>
      </c>
      <c r="G369" s="17">
        <f>COUNTIFS(FILE_UPLOADS!$B:$B,$A369,FILE_UPLOADS!$D:$D,$C369)</f>
        <v>0</v>
      </c>
      <c r="H369" s="17" t="str">
        <f t="shared" si="1"/>
        <v/>
      </c>
    </row>
    <row r="370" ht="15.75" customHeight="1">
      <c r="A370" s="17" t="s">
        <v>335</v>
      </c>
      <c r="B370" s="17" t="s">
        <v>12</v>
      </c>
      <c r="C370" s="17" t="s">
        <v>90</v>
      </c>
      <c r="D370" s="17" t="s">
        <v>91</v>
      </c>
      <c r="E370" s="17" t="s">
        <v>92</v>
      </c>
      <c r="F370" s="17" t="str">
        <f t="array" ref="F370">IFERROR(INDEX(PL4_TONG_HOP!$M$2:$M$5000,MATCH($C370,PL4_TONG_HOP!$A$2:$A$5000,0)),"")</f>
        <v/>
      </c>
      <c r="G370" s="17">
        <f>COUNTIFS(FILE_UPLOADS!$B:$B,$A370,FILE_UPLOADS!$D:$D,$C370)</f>
        <v>0</v>
      </c>
      <c r="H370" s="17" t="str">
        <f t="shared" si="1"/>
        <v/>
      </c>
    </row>
    <row r="371" ht="15.75" customHeight="1">
      <c r="A371" s="17" t="s">
        <v>335</v>
      </c>
      <c r="B371" s="17" t="s">
        <v>12</v>
      </c>
      <c r="C371" s="17" t="s">
        <v>93</v>
      </c>
      <c r="D371" s="17" t="s">
        <v>85</v>
      </c>
      <c r="E371" s="17" t="s">
        <v>94</v>
      </c>
      <c r="F371" s="17" t="str">
        <f t="array" ref="F371">IFERROR(INDEX(PL4_TONG_HOP!$M$2:$M$5000,MATCH($C371,PL4_TONG_HOP!$A$2:$A$5000,0)),"")</f>
        <v/>
      </c>
      <c r="G371" s="17">
        <f>COUNTIFS(FILE_UPLOADS!$B:$B,$A371,FILE_UPLOADS!$D:$D,$C371)</f>
        <v>0</v>
      </c>
      <c r="H371" s="17" t="str">
        <f t="shared" si="1"/>
        <v/>
      </c>
    </row>
    <row r="372" ht="15.75" customHeight="1">
      <c r="A372" s="17" t="s">
        <v>335</v>
      </c>
      <c r="B372" s="17" t="s">
        <v>12</v>
      </c>
      <c r="C372" s="17" t="s">
        <v>95</v>
      </c>
      <c r="D372" s="17" t="s">
        <v>96</v>
      </c>
      <c r="E372" s="17" t="s">
        <v>97</v>
      </c>
      <c r="F372" s="17" t="str">
        <f t="array" ref="F372">IFERROR(INDEX(PL4_TONG_HOP!$M$2:$M$5000,MATCH($C372,PL4_TONG_HOP!$A$2:$A$5000,0)),"")</f>
        <v/>
      </c>
      <c r="G372" s="17">
        <f>COUNTIFS(FILE_UPLOADS!$B:$B,$A372,FILE_UPLOADS!$D:$D,$C372)</f>
        <v>0</v>
      </c>
      <c r="H372" s="17" t="str">
        <f t="shared" si="1"/>
        <v/>
      </c>
    </row>
    <row r="373" ht="15.75" customHeight="1">
      <c r="A373" s="17" t="s">
        <v>335</v>
      </c>
      <c r="B373" s="17" t="s">
        <v>12</v>
      </c>
      <c r="C373" s="17" t="s">
        <v>98</v>
      </c>
      <c r="D373" s="17" t="s">
        <v>99</v>
      </c>
      <c r="E373" s="17" t="s">
        <v>100</v>
      </c>
      <c r="F373" s="17" t="str">
        <f t="array" ref="F373">IFERROR(INDEX(PL4_TONG_HOP!$M$2:$M$5000,MATCH($C373,PL4_TONG_HOP!$A$2:$A$5000,0)),"")</f>
        <v/>
      </c>
      <c r="G373" s="17">
        <f>COUNTIFS(FILE_UPLOADS!$B:$B,$A373,FILE_UPLOADS!$D:$D,$C373)</f>
        <v>0</v>
      </c>
      <c r="H373" s="17" t="str">
        <f t="shared" si="1"/>
        <v/>
      </c>
    </row>
    <row r="374" ht="15.75" customHeight="1">
      <c r="A374" s="17" t="s">
        <v>335</v>
      </c>
      <c r="B374" s="17" t="s">
        <v>12</v>
      </c>
      <c r="C374" s="17" t="s">
        <v>101</v>
      </c>
      <c r="D374" s="17" t="s">
        <v>102</v>
      </c>
      <c r="E374" s="17" t="s">
        <v>103</v>
      </c>
      <c r="F374" s="17" t="str">
        <f t="array" ref="F374">IFERROR(INDEX(PL4_TONG_HOP!$M$2:$M$5000,MATCH($C374,PL4_TONG_HOP!$A$2:$A$5000,0)),"")</f>
        <v/>
      </c>
      <c r="G374" s="17">
        <f>COUNTIFS(FILE_UPLOADS!$B:$B,$A374,FILE_UPLOADS!$D:$D,$C374)</f>
        <v>0</v>
      </c>
      <c r="H374" s="17" t="str">
        <f t="shared" si="1"/>
        <v/>
      </c>
    </row>
    <row r="375" ht="15.75" customHeight="1">
      <c r="A375" s="17" t="s">
        <v>335</v>
      </c>
      <c r="B375" s="17" t="s">
        <v>12</v>
      </c>
      <c r="C375" s="17" t="s">
        <v>113</v>
      </c>
      <c r="D375" s="17" t="s">
        <v>114</v>
      </c>
      <c r="E375" s="17" t="s">
        <v>115</v>
      </c>
      <c r="F375" s="17" t="str">
        <f t="array" ref="F375">IFERROR(INDEX(PL4_TONG_HOP!$M$2:$M$5000,MATCH($C375,PL4_TONG_HOP!$A$2:$A$5000,0)),"")</f>
        <v/>
      </c>
      <c r="G375" s="17">
        <f>COUNTIFS(FILE_UPLOADS!$B:$B,$A375,FILE_UPLOADS!$D:$D,$C375)</f>
        <v>0</v>
      </c>
      <c r="H375" s="17" t="str">
        <f t="shared" si="1"/>
        <v/>
      </c>
    </row>
    <row r="376" ht="15.75" customHeight="1">
      <c r="A376" s="17" t="s">
        <v>335</v>
      </c>
      <c r="B376" s="17" t="s">
        <v>12</v>
      </c>
      <c r="C376" s="17" t="s">
        <v>116</v>
      </c>
      <c r="D376" s="17" t="s">
        <v>117</v>
      </c>
      <c r="E376" s="17" t="s">
        <v>118</v>
      </c>
      <c r="F376" s="17" t="str">
        <f t="array" ref="F376">IFERROR(INDEX(PL4_TONG_HOP!$M$2:$M$5000,MATCH($C376,PL4_TONG_HOP!$A$2:$A$5000,0)),"")</f>
        <v/>
      </c>
      <c r="G376" s="17">
        <f>COUNTIFS(FILE_UPLOADS!$B:$B,$A376,FILE_UPLOADS!$D:$D,$C376)</f>
        <v>0</v>
      </c>
      <c r="H376" s="17" t="str">
        <f t="shared" si="1"/>
        <v/>
      </c>
    </row>
    <row r="377" ht="15.75" customHeight="1">
      <c r="A377" s="17" t="s">
        <v>335</v>
      </c>
      <c r="B377" s="17" t="s">
        <v>12</v>
      </c>
      <c r="C377" s="17" t="s">
        <v>119</v>
      </c>
      <c r="D377" s="17" t="s">
        <v>120</v>
      </c>
      <c r="E377" s="17" t="s">
        <v>121</v>
      </c>
      <c r="F377" s="17" t="str">
        <f t="array" ref="F377">IFERROR(INDEX(PL4_TONG_HOP!$M$2:$M$5000,MATCH($C377,PL4_TONG_HOP!$A$2:$A$5000,0)),"")</f>
        <v/>
      </c>
      <c r="G377" s="17">
        <f>COUNTIFS(FILE_UPLOADS!$B:$B,$A377,FILE_UPLOADS!$D:$D,$C377)</f>
        <v>0</v>
      </c>
      <c r="H377" s="17" t="str">
        <f t="shared" si="1"/>
        <v/>
      </c>
    </row>
    <row r="378" ht="15.75" customHeight="1">
      <c r="A378" s="17" t="s">
        <v>335</v>
      </c>
      <c r="B378" s="17" t="s">
        <v>12</v>
      </c>
      <c r="C378" s="17" t="s">
        <v>122</v>
      </c>
      <c r="D378" s="17" t="s">
        <v>123</v>
      </c>
      <c r="E378" s="17" t="s">
        <v>124</v>
      </c>
      <c r="F378" s="17" t="str">
        <f t="array" ref="F378">IFERROR(INDEX(PL4_TONG_HOP!$M$2:$M$5000,MATCH($C378,PL4_TONG_HOP!$A$2:$A$5000,0)),"")</f>
        <v/>
      </c>
      <c r="G378" s="17">
        <f>COUNTIFS(FILE_UPLOADS!$B:$B,$A378,FILE_UPLOADS!$D:$D,$C378)</f>
        <v>0</v>
      </c>
      <c r="H378" s="17" t="str">
        <f t="shared" si="1"/>
        <v/>
      </c>
    </row>
    <row r="379" ht="15.75" customHeight="1">
      <c r="A379" s="17" t="s">
        <v>335</v>
      </c>
      <c r="B379" s="17" t="s">
        <v>12</v>
      </c>
      <c r="C379" s="17" t="s">
        <v>125</v>
      </c>
      <c r="D379" s="17" t="s">
        <v>126</v>
      </c>
      <c r="E379" s="17" t="s">
        <v>127</v>
      </c>
      <c r="F379" s="17" t="str">
        <f t="array" ref="F379">IFERROR(INDEX(PL4_TONG_HOP!$M$2:$M$5000,MATCH($C379,PL4_TONG_HOP!$A$2:$A$5000,0)),"")</f>
        <v/>
      </c>
      <c r="G379" s="17">
        <f>COUNTIFS(FILE_UPLOADS!$B:$B,$A379,FILE_UPLOADS!$D:$D,$C379)</f>
        <v>0</v>
      </c>
      <c r="H379" s="17" t="str">
        <f t="shared" si="1"/>
        <v/>
      </c>
    </row>
    <row r="380" ht="15.75" customHeight="1">
      <c r="A380" s="17" t="s">
        <v>335</v>
      </c>
      <c r="B380" s="17" t="s">
        <v>12</v>
      </c>
      <c r="C380" s="17" t="s">
        <v>128</v>
      </c>
      <c r="D380" s="17" t="s">
        <v>129</v>
      </c>
      <c r="E380" s="17" t="s">
        <v>130</v>
      </c>
      <c r="F380" s="17" t="str">
        <f t="array" ref="F380">IFERROR(INDEX(PL4_TONG_HOP!$M$2:$M$5000,MATCH($C380,PL4_TONG_HOP!$A$2:$A$5000,0)),"")</f>
        <v/>
      </c>
      <c r="G380" s="17">
        <f>COUNTIFS(FILE_UPLOADS!$B:$B,$A380,FILE_UPLOADS!$D:$D,$C380)</f>
        <v>0</v>
      </c>
      <c r="H380" s="17" t="str">
        <f t="shared" si="1"/>
        <v/>
      </c>
    </row>
    <row r="381" ht="15.75" customHeight="1">
      <c r="A381" s="17" t="s">
        <v>335</v>
      </c>
      <c r="B381" s="17" t="s">
        <v>12</v>
      </c>
      <c r="C381" s="17" t="s">
        <v>131</v>
      </c>
      <c r="D381" s="17" t="s">
        <v>132</v>
      </c>
      <c r="E381" s="17" t="s">
        <v>133</v>
      </c>
      <c r="F381" s="17" t="str">
        <f t="array" ref="F381">IFERROR(INDEX(PL4_TONG_HOP!$M$2:$M$5000,MATCH($C381,PL4_TONG_HOP!$A$2:$A$5000,0)),"")</f>
        <v/>
      </c>
      <c r="G381" s="17">
        <f>COUNTIFS(FILE_UPLOADS!$B:$B,$A381,FILE_UPLOADS!$D:$D,$C381)</f>
        <v>0</v>
      </c>
      <c r="H381" s="17" t="str">
        <f t="shared" si="1"/>
        <v/>
      </c>
    </row>
    <row r="382" ht="15.75" customHeight="1">
      <c r="A382" s="17" t="s">
        <v>335</v>
      </c>
      <c r="B382" s="17" t="s">
        <v>12</v>
      </c>
      <c r="C382" s="17" t="s">
        <v>134</v>
      </c>
      <c r="D382" s="17" t="s">
        <v>135</v>
      </c>
      <c r="E382" s="17" t="s">
        <v>136</v>
      </c>
      <c r="F382" s="17" t="str">
        <f t="array" ref="F382">IFERROR(INDEX(PL4_TONG_HOP!$M$2:$M$5000,MATCH($C382,PL4_TONG_HOP!$A$2:$A$5000,0)),"")</f>
        <v/>
      </c>
      <c r="G382" s="17">
        <f>COUNTIFS(FILE_UPLOADS!$B:$B,$A382,FILE_UPLOADS!$D:$D,$C382)</f>
        <v>0</v>
      </c>
      <c r="H382" s="17" t="str">
        <f t="shared" si="1"/>
        <v/>
      </c>
    </row>
    <row r="383" ht="15.75" customHeight="1">
      <c r="A383" s="17" t="s">
        <v>335</v>
      </c>
      <c r="B383" s="17" t="s">
        <v>12</v>
      </c>
      <c r="C383" s="17" t="s">
        <v>140</v>
      </c>
      <c r="D383" s="17" t="s">
        <v>141</v>
      </c>
      <c r="E383" s="17" t="s">
        <v>142</v>
      </c>
      <c r="F383" s="17" t="str">
        <f t="array" ref="F383">IFERROR(INDEX(PL4_TONG_HOP!$M$2:$M$5000,MATCH($C383,PL4_TONG_HOP!$A$2:$A$5000,0)),"")</f>
        <v/>
      </c>
      <c r="G383" s="17">
        <f>COUNTIFS(FILE_UPLOADS!$B:$B,$A383,FILE_UPLOADS!$D:$D,$C383)</f>
        <v>0</v>
      </c>
      <c r="H383" s="17" t="str">
        <f t="shared" si="1"/>
        <v/>
      </c>
    </row>
    <row r="384" ht="15.75" customHeight="1">
      <c r="A384" s="17" t="s">
        <v>335</v>
      </c>
      <c r="B384" s="17" t="s">
        <v>12</v>
      </c>
      <c r="C384" s="17" t="s">
        <v>143</v>
      </c>
      <c r="D384" s="17" t="s">
        <v>144</v>
      </c>
      <c r="E384" s="17" t="s">
        <v>145</v>
      </c>
      <c r="F384" s="17" t="str">
        <f t="array" ref="F384">IFERROR(INDEX(PL4_TONG_HOP!$M$2:$M$5000,MATCH($C384,PL4_TONG_HOP!$A$2:$A$5000,0)),"")</f>
        <v/>
      </c>
      <c r="G384" s="17">
        <f>COUNTIFS(FILE_UPLOADS!$B:$B,$A384,FILE_UPLOADS!$D:$D,$C384)</f>
        <v>0</v>
      </c>
      <c r="H384" s="17" t="str">
        <f t="shared" si="1"/>
        <v/>
      </c>
    </row>
    <row r="385" ht="15.75" customHeight="1">
      <c r="A385" s="17" t="s">
        <v>335</v>
      </c>
      <c r="B385" s="17" t="s">
        <v>12</v>
      </c>
      <c r="C385" s="17" t="s">
        <v>149</v>
      </c>
      <c r="D385" s="17" t="s">
        <v>150</v>
      </c>
      <c r="E385" s="17" t="s">
        <v>151</v>
      </c>
      <c r="F385" s="17" t="str">
        <f t="array" ref="F385">IFERROR(INDEX(PL4_TONG_HOP!$M$2:$M$5000,MATCH($C385,PL4_TONG_HOP!$A$2:$A$5000,0)),"")</f>
        <v/>
      </c>
      <c r="G385" s="17">
        <f>COUNTIFS(FILE_UPLOADS!$B:$B,$A385,FILE_UPLOADS!$D:$D,$C385)</f>
        <v>0</v>
      </c>
      <c r="H385" s="17" t="str">
        <f t="shared" si="1"/>
        <v/>
      </c>
    </row>
    <row r="386" ht="15.75" customHeight="1">
      <c r="A386" s="17" t="s">
        <v>335</v>
      </c>
      <c r="B386" s="17" t="s">
        <v>12</v>
      </c>
      <c r="C386" s="17" t="s">
        <v>152</v>
      </c>
      <c r="D386" s="17" t="s">
        <v>153</v>
      </c>
      <c r="E386" s="17" t="s">
        <v>154</v>
      </c>
      <c r="F386" s="17" t="str">
        <f t="array" ref="F386">IFERROR(INDEX(PL4_TONG_HOP!$M$2:$M$5000,MATCH($C386,PL4_TONG_HOP!$A$2:$A$5000,0)),"")</f>
        <v/>
      </c>
      <c r="G386" s="17">
        <f>COUNTIFS(FILE_UPLOADS!$B:$B,$A386,FILE_UPLOADS!$D:$D,$C386)</f>
        <v>0</v>
      </c>
      <c r="H386" s="17" t="str">
        <f t="shared" si="1"/>
        <v/>
      </c>
    </row>
    <row r="387" ht="15.75" customHeight="1">
      <c r="A387" s="17" t="s">
        <v>335</v>
      </c>
      <c r="B387" s="17" t="s">
        <v>12</v>
      </c>
      <c r="C387" s="17" t="s">
        <v>155</v>
      </c>
      <c r="D387" s="17" t="s">
        <v>156</v>
      </c>
      <c r="E387" s="17" t="s">
        <v>157</v>
      </c>
      <c r="F387" s="17" t="str">
        <f t="array" ref="F387">IFERROR(INDEX(PL4_TONG_HOP!$M$2:$M$5000,MATCH($C387,PL4_TONG_HOP!$A$2:$A$5000,0)),"")</f>
        <v/>
      </c>
      <c r="G387" s="17">
        <f>COUNTIFS(FILE_UPLOADS!$B:$B,$A387,FILE_UPLOADS!$D:$D,$C387)</f>
        <v>0</v>
      </c>
      <c r="H387" s="17" t="str">
        <f t="shared" si="1"/>
        <v/>
      </c>
    </row>
    <row r="388" ht="15.75" customHeight="1">
      <c r="A388" s="17" t="s">
        <v>335</v>
      </c>
      <c r="B388" s="17" t="s">
        <v>12</v>
      </c>
      <c r="C388" s="17" t="s">
        <v>161</v>
      </c>
      <c r="D388" s="17" t="s">
        <v>162</v>
      </c>
      <c r="E388" s="17" t="s">
        <v>163</v>
      </c>
      <c r="F388" s="17" t="str">
        <f t="array" ref="F388">IFERROR(INDEX(PL4_TONG_HOP!$M$2:$M$5000,MATCH($C388,PL4_TONG_HOP!$A$2:$A$5000,0)),"")</f>
        <v/>
      </c>
      <c r="G388" s="17">
        <f>COUNTIFS(FILE_UPLOADS!$B:$B,$A388,FILE_UPLOADS!$D:$D,$C388)</f>
        <v>0</v>
      </c>
      <c r="H388" s="17" t="str">
        <f t="shared" si="1"/>
        <v/>
      </c>
    </row>
    <row r="389" ht="15.75" customHeight="1">
      <c r="A389" s="17" t="s">
        <v>335</v>
      </c>
      <c r="B389" s="17" t="s">
        <v>12</v>
      </c>
      <c r="C389" s="17" t="s">
        <v>164</v>
      </c>
      <c r="D389" s="17" t="s">
        <v>165</v>
      </c>
      <c r="E389" s="17" t="s">
        <v>166</v>
      </c>
      <c r="F389" s="17" t="str">
        <f t="array" ref="F389">IFERROR(INDEX(PL4_TONG_HOP!$M$2:$M$5000,MATCH($C389,PL4_TONG_HOP!$A$2:$A$5000,0)),"")</f>
        <v/>
      </c>
      <c r="G389" s="17">
        <f>COUNTIFS(FILE_UPLOADS!$B:$B,$A389,FILE_UPLOADS!$D:$D,$C389)</f>
        <v>0</v>
      </c>
      <c r="H389" s="17" t="str">
        <f t="shared" si="1"/>
        <v/>
      </c>
    </row>
    <row r="390" ht="15.75" customHeight="1">
      <c r="A390" s="17" t="s">
        <v>335</v>
      </c>
      <c r="B390" s="17" t="s">
        <v>12</v>
      </c>
      <c r="C390" s="17" t="s">
        <v>167</v>
      </c>
      <c r="D390" s="17" t="s">
        <v>168</v>
      </c>
      <c r="E390" s="17" t="s">
        <v>169</v>
      </c>
      <c r="F390" s="17" t="str">
        <f t="array" ref="F390">IFERROR(INDEX(PL4_TONG_HOP!$M$2:$M$5000,MATCH($C390,PL4_TONG_HOP!$A$2:$A$5000,0)),"")</f>
        <v/>
      </c>
      <c r="G390" s="17">
        <f>COUNTIFS(FILE_UPLOADS!$B:$B,$A390,FILE_UPLOADS!$D:$D,$C390)</f>
        <v>0</v>
      </c>
      <c r="H390" s="17" t="str">
        <f t="shared" si="1"/>
        <v/>
      </c>
    </row>
    <row r="391" ht="15.75" customHeight="1">
      <c r="A391" s="17" t="s">
        <v>335</v>
      </c>
      <c r="B391" s="17" t="s">
        <v>12</v>
      </c>
      <c r="C391" s="17" t="s">
        <v>173</v>
      </c>
      <c r="D391" s="17" t="s">
        <v>174</v>
      </c>
      <c r="E391" s="17" t="s">
        <v>175</v>
      </c>
      <c r="F391" s="17" t="str">
        <f t="array" ref="F391">IFERROR(INDEX(PL4_TONG_HOP!$M$2:$M$5000,MATCH($C391,PL4_TONG_HOP!$A$2:$A$5000,0)),"")</f>
        <v/>
      </c>
      <c r="G391" s="17">
        <f>COUNTIFS(FILE_UPLOADS!$B:$B,$A391,FILE_UPLOADS!$D:$D,$C391)</f>
        <v>0</v>
      </c>
      <c r="H391" s="17" t="str">
        <f t="shared" si="1"/>
        <v/>
      </c>
    </row>
    <row r="392" ht="15.75" customHeight="1">
      <c r="A392" s="17" t="s">
        <v>335</v>
      </c>
      <c r="B392" s="17" t="s">
        <v>12</v>
      </c>
      <c r="C392" s="17" t="s">
        <v>176</v>
      </c>
      <c r="D392" s="17" t="s">
        <v>177</v>
      </c>
      <c r="E392" s="17" t="s">
        <v>178</v>
      </c>
      <c r="F392" s="17" t="str">
        <f t="array" ref="F392">IFERROR(INDEX(PL4_TONG_HOP!$M$2:$M$5000,MATCH($C392,PL4_TONG_HOP!$A$2:$A$5000,0)),"")</f>
        <v/>
      </c>
      <c r="G392" s="17">
        <f>COUNTIFS(FILE_UPLOADS!$B:$B,$A392,FILE_UPLOADS!$D:$D,$C392)</f>
        <v>0</v>
      </c>
      <c r="H392" s="17" t="str">
        <f t="shared" si="1"/>
        <v/>
      </c>
    </row>
    <row r="393" ht="15.75" customHeight="1">
      <c r="A393" s="17" t="s">
        <v>335</v>
      </c>
      <c r="B393" s="17" t="s">
        <v>12</v>
      </c>
      <c r="C393" s="17" t="s">
        <v>212</v>
      </c>
      <c r="D393" s="17" t="s">
        <v>213</v>
      </c>
      <c r="E393" s="17" t="s">
        <v>214</v>
      </c>
      <c r="F393" s="17" t="str">
        <f t="array" ref="F393">IFERROR(INDEX(PL4_TONG_HOP!$M$2:$M$5000,MATCH($C393,PL4_TONG_HOP!$A$2:$A$5000,0)),"")</f>
        <v/>
      </c>
      <c r="G393" s="17">
        <f>COUNTIFS(FILE_UPLOADS!$B:$B,$A393,FILE_UPLOADS!$D:$D,$C393)</f>
        <v>0</v>
      </c>
      <c r="H393" s="17" t="str">
        <f t="shared" si="1"/>
        <v/>
      </c>
    </row>
    <row r="394" ht="15.75" customHeight="1">
      <c r="A394" s="17" t="s">
        <v>335</v>
      </c>
      <c r="B394" s="17" t="s">
        <v>12</v>
      </c>
      <c r="C394" s="17" t="s">
        <v>215</v>
      </c>
      <c r="D394" s="17" t="s">
        <v>216</v>
      </c>
      <c r="E394" s="17" t="s">
        <v>217</v>
      </c>
      <c r="F394" s="17" t="str">
        <f t="array" ref="F394">IFERROR(INDEX(PL4_TONG_HOP!$M$2:$M$5000,MATCH($C394,PL4_TONG_HOP!$A$2:$A$5000,0)),"")</f>
        <v/>
      </c>
      <c r="G394" s="17">
        <f>COUNTIFS(FILE_UPLOADS!$B:$B,$A394,FILE_UPLOADS!$D:$D,$C394)</f>
        <v>0</v>
      </c>
      <c r="H394" s="17" t="str">
        <f t="shared" si="1"/>
        <v/>
      </c>
    </row>
    <row r="395" ht="15.75" customHeight="1">
      <c r="A395" s="17" t="s">
        <v>335</v>
      </c>
      <c r="B395" s="17" t="s">
        <v>12</v>
      </c>
      <c r="C395" s="17" t="s">
        <v>227</v>
      </c>
      <c r="D395" s="17" t="s">
        <v>228</v>
      </c>
      <c r="E395" s="17" t="s">
        <v>229</v>
      </c>
      <c r="F395" s="17" t="str">
        <f t="array" ref="F395">IFERROR(INDEX(PL4_TONG_HOP!$M$2:$M$5000,MATCH($C395,PL4_TONG_HOP!$A$2:$A$5000,0)),"")</f>
        <v/>
      </c>
      <c r="G395" s="17">
        <f>COUNTIFS(FILE_UPLOADS!$B:$B,$A395,FILE_UPLOADS!$D:$D,$C395)</f>
        <v>0</v>
      </c>
      <c r="H395" s="17" t="str">
        <f t="shared" si="1"/>
        <v/>
      </c>
    </row>
    <row r="396" ht="15.75" customHeight="1">
      <c r="A396" s="17" t="s">
        <v>335</v>
      </c>
      <c r="B396" s="17" t="s">
        <v>12</v>
      </c>
      <c r="C396" s="17" t="s">
        <v>230</v>
      </c>
      <c r="D396" s="17" t="s">
        <v>231</v>
      </c>
      <c r="E396" s="17" t="s">
        <v>232</v>
      </c>
      <c r="F396" s="17" t="str">
        <f t="array" ref="F396">IFERROR(INDEX(PL4_TONG_HOP!$M$2:$M$5000,MATCH($C396,PL4_TONG_HOP!$A$2:$A$5000,0)),"")</f>
        <v/>
      </c>
      <c r="G396" s="17">
        <f>COUNTIFS(FILE_UPLOADS!$B:$B,$A396,FILE_UPLOADS!$D:$D,$C396)</f>
        <v>0</v>
      </c>
      <c r="H396" s="17" t="str">
        <f t="shared" si="1"/>
        <v/>
      </c>
    </row>
    <row r="397" ht="15.75" customHeight="1">
      <c r="A397" s="17" t="s">
        <v>335</v>
      </c>
      <c r="B397" s="17" t="s">
        <v>12</v>
      </c>
      <c r="C397" s="17" t="s">
        <v>236</v>
      </c>
      <c r="D397" s="17" t="s">
        <v>237</v>
      </c>
      <c r="E397" s="17" t="s">
        <v>238</v>
      </c>
      <c r="F397" s="17" t="str">
        <f t="array" ref="F397">IFERROR(INDEX(PL4_TONG_HOP!$M$2:$M$5000,MATCH($C397,PL4_TONG_HOP!$A$2:$A$5000,0)),"")</f>
        <v/>
      </c>
      <c r="G397" s="17">
        <f>COUNTIFS(FILE_UPLOADS!$B:$B,$A397,FILE_UPLOADS!$D:$D,$C397)</f>
        <v>0</v>
      </c>
      <c r="H397" s="17" t="str">
        <f t="shared" si="1"/>
        <v/>
      </c>
    </row>
    <row r="398" ht="15.75" customHeight="1">
      <c r="A398" s="17" t="s">
        <v>335</v>
      </c>
      <c r="B398" s="17" t="s">
        <v>12</v>
      </c>
      <c r="C398" s="17" t="s">
        <v>239</v>
      </c>
      <c r="D398" s="17" t="s">
        <v>240</v>
      </c>
      <c r="E398" s="17" t="s">
        <v>241</v>
      </c>
      <c r="F398" s="17" t="str">
        <f t="array" ref="F398">IFERROR(INDEX(PL4_TONG_HOP!$M$2:$M$5000,MATCH($C398,PL4_TONG_HOP!$A$2:$A$5000,0)),"")</f>
        <v/>
      </c>
      <c r="G398" s="17">
        <f>COUNTIFS(FILE_UPLOADS!$B:$B,$A398,FILE_UPLOADS!$D:$D,$C398)</f>
        <v>0</v>
      </c>
      <c r="H398" s="17" t="str">
        <f t="shared" si="1"/>
        <v/>
      </c>
    </row>
    <row r="399" ht="15.75" customHeight="1">
      <c r="A399" s="17" t="s">
        <v>335</v>
      </c>
      <c r="B399" s="17" t="s">
        <v>12</v>
      </c>
      <c r="C399" s="17" t="s">
        <v>242</v>
      </c>
      <c r="D399" s="17" t="s">
        <v>243</v>
      </c>
      <c r="E399" s="17" t="s">
        <v>244</v>
      </c>
      <c r="F399" s="17" t="str">
        <f t="array" ref="F399">IFERROR(INDEX(PL4_TONG_HOP!$M$2:$M$5000,MATCH($C399,PL4_TONG_HOP!$A$2:$A$5000,0)),"")</f>
        <v/>
      </c>
      <c r="G399" s="17">
        <f>COUNTIFS(FILE_UPLOADS!$B:$B,$A399,FILE_UPLOADS!$D:$D,$C399)</f>
        <v>0</v>
      </c>
      <c r="H399" s="17" t="str">
        <f t="shared" si="1"/>
        <v/>
      </c>
    </row>
    <row r="400" ht="15.75" customHeight="1">
      <c r="A400" s="17" t="s">
        <v>335</v>
      </c>
      <c r="B400" s="17" t="s">
        <v>12</v>
      </c>
      <c r="C400" s="17" t="s">
        <v>248</v>
      </c>
      <c r="D400" s="17" t="s">
        <v>249</v>
      </c>
      <c r="E400" s="17" t="s">
        <v>250</v>
      </c>
      <c r="F400" s="17" t="str">
        <f t="array" ref="F400">IFERROR(INDEX(PL4_TONG_HOP!$M$2:$M$5000,MATCH($C400,PL4_TONG_HOP!$A$2:$A$5000,0)),"")</f>
        <v/>
      </c>
      <c r="G400" s="17">
        <f>COUNTIFS(FILE_UPLOADS!$B:$B,$A400,FILE_UPLOADS!$D:$D,$C400)</f>
        <v>0</v>
      </c>
      <c r="H400" s="17" t="str">
        <f t="shared" si="1"/>
        <v/>
      </c>
    </row>
    <row r="401" ht="15.75" customHeight="1">
      <c r="A401" s="17" t="s">
        <v>335</v>
      </c>
      <c r="B401" s="17" t="s">
        <v>12</v>
      </c>
      <c r="C401" s="17" t="s">
        <v>251</v>
      </c>
      <c r="D401" s="17" t="s">
        <v>252</v>
      </c>
      <c r="E401" s="17" t="s">
        <v>253</v>
      </c>
      <c r="F401" s="17" t="str">
        <f t="array" ref="F401">IFERROR(INDEX(PL4_TONG_HOP!$M$2:$M$5000,MATCH($C401,PL4_TONG_HOP!$A$2:$A$5000,0)),"")</f>
        <v/>
      </c>
      <c r="G401" s="17">
        <f>COUNTIFS(FILE_UPLOADS!$B:$B,$A401,FILE_UPLOADS!$D:$D,$C401)</f>
        <v>0</v>
      </c>
      <c r="H401" s="17" t="str">
        <f t="shared" si="1"/>
        <v/>
      </c>
    </row>
    <row r="402" ht="15.75" customHeight="1">
      <c r="A402" s="17" t="s">
        <v>335</v>
      </c>
      <c r="B402" s="17" t="s">
        <v>12</v>
      </c>
      <c r="C402" s="17" t="s">
        <v>254</v>
      </c>
      <c r="D402" s="17" t="s">
        <v>255</v>
      </c>
      <c r="E402" s="17" t="s">
        <v>256</v>
      </c>
      <c r="F402" s="17" t="str">
        <f t="array" ref="F402">IFERROR(INDEX(PL4_TONG_HOP!$M$2:$M$5000,MATCH($C402,PL4_TONG_HOP!$A$2:$A$5000,0)),"")</f>
        <v/>
      </c>
      <c r="G402" s="17">
        <f>COUNTIFS(FILE_UPLOADS!$B:$B,$A402,FILE_UPLOADS!$D:$D,$C402)</f>
        <v>0</v>
      </c>
      <c r="H402" s="17" t="str">
        <f t="shared" si="1"/>
        <v/>
      </c>
    </row>
    <row r="403" ht="15.75" customHeight="1">
      <c r="A403" s="17" t="s">
        <v>335</v>
      </c>
      <c r="B403" s="17" t="s">
        <v>12</v>
      </c>
      <c r="C403" s="17" t="s">
        <v>260</v>
      </c>
      <c r="D403" s="17" t="s">
        <v>261</v>
      </c>
      <c r="E403" s="17" t="s">
        <v>262</v>
      </c>
      <c r="F403" s="17" t="str">
        <f t="array" ref="F403">IFERROR(INDEX(PL4_TONG_HOP!$M$2:$M$5000,MATCH($C403,PL4_TONG_HOP!$A$2:$A$5000,0)),"")</f>
        <v/>
      </c>
      <c r="G403" s="17">
        <f>COUNTIFS(FILE_UPLOADS!$B:$B,$A403,FILE_UPLOADS!$D:$D,$C403)</f>
        <v>0</v>
      </c>
      <c r="H403" s="17" t="str">
        <f t="shared" si="1"/>
        <v/>
      </c>
    </row>
    <row r="404" ht="15.75" customHeight="1">
      <c r="A404" s="17" t="s">
        <v>335</v>
      </c>
      <c r="B404" s="17" t="s">
        <v>12</v>
      </c>
      <c r="C404" s="17" t="s">
        <v>263</v>
      </c>
      <c r="D404" s="17" t="s">
        <v>264</v>
      </c>
      <c r="E404" s="17" t="s">
        <v>265</v>
      </c>
      <c r="F404" s="17" t="str">
        <f t="array" ref="F404">IFERROR(INDEX(PL4_TONG_HOP!$M$2:$M$5000,MATCH($C404,PL4_TONG_HOP!$A$2:$A$5000,0)),"")</f>
        <v/>
      </c>
      <c r="G404" s="17">
        <f>COUNTIFS(FILE_UPLOADS!$B:$B,$A404,FILE_UPLOADS!$D:$D,$C404)</f>
        <v>0</v>
      </c>
      <c r="H404" s="17" t="str">
        <f t="shared" si="1"/>
        <v/>
      </c>
    </row>
    <row r="405" ht="15.75" customHeight="1">
      <c r="A405" s="17" t="s">
        <v>335</v>
      </c>
      <c r="B405" s="17" t="s">
        <v>12</v>
      </c>
      <c r="C405" s="17" t="s">
        <v>266</v>
      </c>
      <c r="D405" s="17" t="s">
        <v>267</v>
      </c>
      <c r="E405" s="17" t="s">
        <v>268</v>
      </c>
      <c r="F405" s="17" t="str">
        <f t="array" ref="F405">IFERROR(INDEX(PL4_TONG_HOP!$M$2:$M$5000,MATCH($C405,PL4_TONG_HOP!$A$2:$A$5000,0)),"")</f>
        <v/>
      </c>
      <c r="G405" s="17">
        <f>COUNTIFS(FILE_UPLOADS!$B:$B,$A405,FILE_UPLOADS!$D:$D,$C405)</f>
        <v>0</v>
      </c>
      <c r="H405" s="17" t="str">
        <f t="shared" si="1"/>
        <v/>
      </c>
    </row>
    <row r="406" ht="15.75" customHeight="1">
      <c r="A406" s="17" t="s">
        <v>335</v>
      </c>
      <c r="B406" s="17" t="s">
        <v>12</v>
      </c>
      <c r="C406" s="17" t="s">
        <v>269</v>
      </c>
      <c r="D406" s="17" t="s">
        <v>270</v>
      </c>
      <c r="E406" s="17" t="s">
        <v>271</v>
      </c>
      <c r="F406" s="17" t="str">
        <f t="array" ref="F406">IFERROR(INDEX(PL4_TONG_HOP!$M$2:$M$5000,MATCH($C406,PL4_TONG_HOP!$A$2:$A$5000,0)),"")</f>
        <v/>
      </c>
      <c r="G406" s="17">
        <f>COUNTIFS(FILE_UPLOADS!$B:$B,$A406,FILE_UPLOADS!$D:$D,$C406)</f>
        <v>0</v>
      </c>
      <c r="H406" s="17" t="str">
        <f t="shared" si="1"/>
        <v/>
      </c>
    </row>
    <row r="407" ht="15.75" customHeight="1">
      <c r="A407" s="17" t="s">
        <v>335</v>
      </c>
      <c r="B407" s="17" t="s">
        <v>12</v>
      </c>
      <c r="C407" s="17" t="s">
        <v>272</v>
      </c>
      <c r="D407" s="17" t="s">
        <v>273</v>
      </c>
      <c r="E407" s="17" t="s">
        <v>274</v>
      </c>
      <c r="F407" s="17" t="str">
        <f t="array" ref="F407">IFERROR(INDEX(PL4_TONG_HOP!$M$2:$M$5000,MATCH($C407,PL4_TONG_HOP!$A$2:$A$5000,0)),"")</f>
        <v/>
      </c>
      <c r="G407" s="17">
        <f>COUNTIFS(FILE_UPLOADS!$B:$B,$A407,FILE_UPLOADS!$D:$D,$C407)</f>
        <v>0</v>
      </c>
      <c r="H407" s="17" t="str">
        <f t="shared" si="1"/>
        <v/>
      </c>
    </row>
    <row r="408" ht="15.75" customHeight="1">
      <c r="A408" s="17" t="s">
        <v>335</v>
      </c>
      <c r="B408" s="17" t="s">
        <v>12</v>
      </c>
      <c r="C408" s="17" t="s">
        <v>275</v>
      </c>
      <c r="D408" s="17" t="s">
        <v>276</v>
      </c>
      <c r="E408" s="17" t="s">
        <v>277</v>
      </c>
      <c r="F408" s="17" t="str">
        <f t="array" ref="F408">IFERROR(INDEX(PL4_TONG_HOP!$M$2:$M$5000,MATCH($C408,PL4_TONG_HOP!$A$2:$A$5000,0)),"")</f>
        <v/>
      </c>
      <c r="G408" s="17">
        <f>COUNTIFS(FILE_UPLOADS!$B:$B,$A408,FILE_UPLOADS!$D:$D,$C408)</f>
        <v>0</v>
      </c>
      <c r="H408" s="17" t="str">
        <f t="shared" si="1"/>
        <v/>
      </c>
    </row>
    <row r="409" ht="15.75" customHeight="1">
      <c r="A409" s="17" t="s">
        <v>335</v>
      </c>
      <c r="B409" s="17" t="s">
        <v>12</v>
      </c>
      <c r="C409" s="17" t="s">
        <v>278</v>
      </c>
      <c r="D409" s="17" t="s">
        <v>279</v>
      </c>
      <c r="E409" s="17" t="s">
        <v>280</v>
      </c>
      <c r="F409" s="17" t="str">
        <f t="array" ref="F409">IFERROR(INDEX(PL4_TONG_HOP!$M$2:$M$5000,MATCH($C409,PL4_TONG_HOP!$A$2:$A$5000,0)),"")</f>
        <v/>
      </c>
      <c r="G409" s="17">
        <f>COUNTIFS(FILE_UPLOADS!$B:$B,$A409,FILE_UPLOADS!$D:$D,$C409)</f>
        <v>0</v>
      </c>
      <c r="H409" s="17" t="str">
        <f t="shared" si="1"/>
        <v/>
      </c>
    </row>
    <row r="410" ht="15.75" customHeight="1">
      <c r="A410" s="17" t="s">
        <v>335</v>
      </c>
      <c r="B410" s="17" t="s">
        <v>12</v>
      </c>
      <c r="C410" s="17" t="s">
        <v>281</v>
      </c>
      <c r="D410" s="17" t="s">
        <v>282</v>
      </c>
      <c r="E410" s="17" t="s">
        <v>283</v>
      </c>
      <c r="F410" s="17" t="str">
        <f t="array" ref="F410">IFERROR(INDEX(PL4_TONG_HOP!$M$2:$M$5000,MATCH($C410,PL4_TONG_HOP!$A$2:$A$5000,0)),"")</f>
        <v/>
      </c>
      <c r="G410" s="17">
        <f>COUNTIFS(FILE_UPLOADS!$B:$B,$A410,FILE_UPLOADS!$D:$D,$C410)</f>
        <v>0</v>
      </c>
      <c r="H410" s="17" t="str">
        <f t="shared" si="1"/>
        <v/>
      </c>
    </row>
    <row r="411" ht="15.75" customHeight="1">
      <c r="A411" s="17" t="s">
        <v>335</v>
      </c>
      <c r="B411" s="17" t="s">
        <v>12</v>
      </c>
      <c r="C411" s="17" t="s">
        <v>290</v>
      </c>
      <c r="D411" s="17" t="s">
        <v>291</v>
      </c>
      <c r="E411" s="17" t="s">
        <v>292</v>
      </c>
      <c r="F411" s="17" t="str">
        <f t="array" ref="F411">IFERROR(INDEX(PL4_TONG_HOP!$M$2:$M$5000,MATCH($C411,PL4_TONG_HOP!$A$2:$A$5000,0)),"")</f>
        <v/>
      </c>
      <c r="G411" s="17">
        <f>COUNTIFS(FILE_UPLOADS!$B:$B,$A411,FILE_UPLOADS!$D:$D,$C411)</f>
        <v>0</v>
      </c>
      <c r="H411" s="17" t="str">
        <f t="shared" si="1"/>
        <v/>
      </c>
    </row>
    <row r="412" ht="15.75" customHeight="1">
      <c r="A412" s="17" t="s">
        <v>335</v>
      </c>
      <c r="B412" s="17" t="s">
        <v>12</v>
      </c>
      <c r="C412" s="17" t="s">
        <v>293</v>
      </c>
      <c r="D412" s="17" t="s">
        <v>294</v>
      </c>
      <c r="E412" s="17" t="s">
        <v>295</v>
      </c>
      <c r="F412" s="17" t="str">
        <f t="array" ref="F412">IFERROR(INDEX(PL4_TONG_HOP!$M$2:$M$5000,MATCH($C412,PL4_TONG_HOP!$A$2:$A$5000,0)),"")</f>
        <v/>
      </c>
      <c r="G412" s="17">
        <f>COUNTIFS(FILE_UPLOADS!$B:$B,$A412,FILE_UPLOADS!$D:$D,$C412)</f>
        <v>0</v>
      </c>
      <c r="H412" s="17" t="str">
        <f t="shared" si="1"/>
        <v/>
      </c>
    </row>
    <row r="413" ht="15.75" customHeight="1">
      <c r="A413" s="17" t="s">
        <v>335</v>
      </c>
      <c r="B413" s="17" t="s">
        <v>12</v>
      </c>
      <c r="C413" s="17" t="s">
        <v>299</v>
      </c>
      <c r="D413" s="17" t="s">
        <v>300</v>
      </c>
      <c r="E413" s="17" t="s">
        <v>301</v>
      </c>
      <c r="F413" s="17" t="str">
        <f t="array" ref="F413">IFERROR(INDEX(PL4_TONG_HOP!$M$2:$M$5000,MATCH($C413,PL4_TONG_HOP!$A$2:$A$5000,0)),"")</f>
        <v/>
      </c>
      <c r="G413" s="17">
        <f>COUNTIFS(FILE_UPLOADS!$B:$B,$A413,FILE_UPLOADS!$D:$D,$C413)</f>
        <v>0</v>
      </c>
      <c r="H413" s="17" t="str">
        <f t="shared" si="1"/>
        <v/>
      </c>
    </row>
    <row r="414" ht="15.75" customHeight="1">
      <c r="A414" s="17" t="s">
        <v>335</v>
      </c>
      <c r="B414" s="17" t="s">
        <v>12</v>
      </c>
      <c r="C414" s="17" t="s">
        <v>302</v>
      </c>
      <c r="D414" s="17" t="s">
        <v>303</v>
      </c>
      <c r="E414" s="17" t="s">
        <v>304</v>
      </c>
      <c r="F414" s="17" t="str">
        <f t="array" ref="F414">IFERROR(INDEX(PL4_TONG_HOP!$M$2:$M$5000,MATCH($C414,PL4_TONG_HOP!$A$2:$A$5000,0)),"")</f>
        <v/>
      </c>
      <c r="G414" s="17">
        <f>COUNTIFS(FILE_UPLOADS!$B:$B,$A414,FILE_UPLOADS!$D:$D,$C414)</f>
        <v>0</v>
      </c>
      <c r="H414" s="17" t="str">
        <f t="shared" si="1"/>
        <v/>
      </c>
    </row>
    <row r="415" ht="15.75" customHeight="1">
      <c r="A415" s="17" t="s">
        <v>335</v>
      </c>
      <c r="B415" s="17" t="s">
        <v>12</v>
      </c>
      <c r="C415" s="17" t="s">
        <v>308</v>
      </c>
      <c r="D415" s="17" t="s">
        <v>309</v>
      </c>
      <c r="E415" s="17" t="s">
        <v>310</v>
      </c>
      <c r="F415" s="17" t="str">
        <f t="array" ref="F415">IFERROR(INDEX(PL4_TONG_HOP!$M$2:$M$5000,MATCH($C415,PL4_TONG_HOP!$A$2:$A$5000,0)),"")</f>
        <v/>
      </c>
      <c r="G415" s="17">
        <f>COUNTIFS(FILE_UPLOADS!$B:$B,$A415,FILE_UPLOADS!$D:$D,$C415)</f>
        <v>0</v>
      </c>
      <c r="H415" s="17" t="str">
        <f t="shared" si="1"/>
        <v/>
      </c>
    </row>
    <row r="416" ht="15.75" customHeight="1">
      <c r="A416" s="17" t="s">
        <v>335</v>
      </c>
      <c r="B416" s="17" t="s">
        <v>12</v>
      </c>
      <c r="C416" s="17" t="s">
        <v>311</v>
      </c>
      <c r="D416" s="17" t="s">
        <v>312</v>
      </c>
      <c r="E416" s="17" t="s">
        <v>313</v>
      </c>
      <c r="F416" s="17" t="str">
        <f t="array" ref="F416">IFERROR(INDEX(PL4_TONG_HOP!$M$2:$M$5000,MATCH($C416,PL4_TONG_HOP!$A$2:$A$5000,0)),"")</f>
        <v/>
      </c>
      <c r="G416" s="17">
        <f>COUNTIFS(FILE_UPLOADS!$B:$B,$A416,FILE_UPLOADS!$D:$D,$C416)</f>
        <v>0</v>
      </c>
      <c r="H416" s="17" t="str">
        <f t="shared" si="1"/>
        <v/>
      </c>
    </row>
    <row r="417" ht="15.75" customHeight="1">
      <c r="A417" s="17" t="s">
        <v>335</v>
      </c>
      <c r="B417" s="17" t="s">
        <v>12</v>
      </c>
      <c r="C417" s="17" t="s">
        <v>314</v>
      </c>
      <c r="D417" s="17" t="s">
        <v>315</v>
      </c>
      <c r="E417" s="17" t="s">
        <v>316</v>
      </c>
      <c r="F417" s="17" t="str">
        <f t="array" ref="F417">IFERROR(INDEX(PL4_TONG_HOP!$M$2:$M$5000,MATCH($C417,PL4_TONG_HOP!$A$2:$A$5000,0)),"")</f>
        <v/>
      </c>
      <c r="G417" s="17">
        <f>COUNTIFS(FILE_UPLOADS!$B:$B,$A417,FILE_UPLOADS!$D:$D,$C417)</f>
        <v>0</v>
      </c>
      <c r="H417" s="17" t="str">
        <f t="shared" si="1"/>
        <v/>
      </c>
    </row>
    <row r="418" ht="15.75" customHeight="1">
      <c r="A418" s="17" t="s">
        <v>336</v>
      </c>
      <c r="B418" s="17" t="s">
        <v>13</v>
      </c>
      <c r="C418" s="17" t="s">
        <v>46</v>
      </c>
      <c r="D418" s="17" t="s">
        <v>47</v>
      </c>
      <c r="E418" s="17" t="s">
        <v>48</v>
      </c>
      <c r="F418" s="17" t="str">
        <f t="array" ref="F418">IFERROR(INDEX(PL4_TONG_HOP!$N$2:$N$5000,MATCH($C418,PL4_TONG_HOP!$A$2:$A$5000,0)),"")</f>
        <v/>
      </c>
      <c r="G418" s="17">
        <f>COUNTIFS(FILE_UPLOADS!$B:$B,$A418,FILE_UPLOADS!$D:$D,$C418)</f>
        <v>0</v>
      </c>
      <c r="H418" s="17" t="str">
        <f t="shared" si="1"/>
        <v/>
      </c>
    </row>
    <row r="419" ht="15.75" customHeight="1">
      <c r="A419" s="17" t="s">
        <v>336</v>
      </c>
      <c r="B419" s="17" t="s">
        <v>13</v>
      </c>
      <c r="C419" s="17" t="s">
        <v>78</v>
      </c>
      <c r="D419" s="17" t="s">
        <v>79</v>
      </c>
      <c r="E419" s="17" t="s">
        <v>80</v>
      </c>
      <c r="F419" s="17" t="str">
        <f t="array" ref="F419">IFERROR(INDEX(PL4_TONG_HOP!$N$2:$N$5000,MATCH($C419,PL4_TONG_HOP!$A$2:$A$5000,0)),"")</f>
        <v/>
      </c>
      <c r="G419" s="17">
        <f>COUNTIFS(FILE_UPLOADS!$B:$B,$A419,FILE_UPLOADS!$D:$D,$C419)</f>
        <v>0</v>
      </c>
      <c r="H419" s="17" t="str">
        <f t="shared" si="1"/>
        <v/>
      </c>
    </row>
    <row r="420" ht="15.75" customHeight="1">
      <c r="A420" s="17" t="s">
        <v>336</v>
      </c>
      <c r="B420" s="17" t="s">
        <v>13</v>
      </c>
      <c r="C420" s="17" t="s">
        <v>81</v>
      </c>
      <c r="D420" s="17" t="s">
        <v>82</v>
      </c>
      <c r="E420" s="17" t="s">
        <v>83</v>
      </c>
      <c r="F420" s="17" t="str">
        <f t="array" ref="F420">IFERROR(INDEX(PL4_TONG_HOP!$N$2:$N$5000,MATCH($C420,PL4_TONG_HOP!$A$2:$A$5000,0)),"")</f>
        <v/>
      </c>
      <c r="G420" s="17">
        <f>COUNTIFS(FILE_UPLOADS!$B:$B,$A420,FILE_UPLOADS!$D:$D,$C420)</f>
        <v>0</v>
      </c>
      <c r="H420" s="17" t="str">
        <f t="shared" si="1"/>
        <v/>
      </c>
    </row>
    <row r="421" ht="15.75" customHeight="1">
      <c r="A421" s="17" t="s">
        <v>336</v>
      </c>
      <c r="B421" s="17" t="s">
        <v>13</v>
      </c>
      <c r="C421" s="17" t="s">
        <v>87</v>
      </c>
      <c r="D421" s="17" t="s">
        <v>88</v>
      </c>
      <c r="E421" s="17" t="s">
        <v>89</v>
      </c>
      <c r="F421" s="17" t="str">
        <f t="array" ref="F421">IFERROR(INDEX(PL4_TONG_HOP!$N$2:$N$5000,MATCH($C421,PL4_TONG_HOP!$A$2:$A$5000,0)),"")</f>
        <v/>
      </c>
      <c r="G421" s="17">
        <f>COUNTIFS(FILE_UPLOADS!$B:$B,$A421,FILE_UPLOADS!$D:$D,$C421)</f>
        <v>0</v>
      </c>
      <c r="H421" s="17" t="str">
        <f t="shared" si="1"/>
        <v/>
      </c>
    </row>
    <row r="422" ht="15.75" customHeight="1">
      <c r="A422" s="17" t="s">
        <v>336</v>
      </c>
      <c r="B422" s="17" t="s">
        <v>13</v>
      </c>
      <c r="C422" s="17" t="s">
        <v>90</v>
      </c>
      <c r="D422" s="17" t="s">
        <v>91</v>
      </c>
      <c r="E422" s="17" t="s">
        <v>92</v>
      </c>
      <c r="F422" s="17" t="str">
        <f t="array" ref="F422">IFERROR(INDEX(PL4_TONG_HOP!$N$2:$N$5000,MATCH($C422,PL4_TONG_HOP!$A$2:$A$5000,0)),"")</f>
        <v/>
      </c>
      <c r="G422" s="17">
        <f>COUNTIFS(FILE_UPLOADS!$B:$B,$A422,FILE_UPLOADS!$D:$D,$C422)</f>
        <v>0</v>
      </c>
      <c r="H422" s="17" t="str">
        <f t="shared" si="1"/>
        <v/>
      </c>
    </row>
    <row r="423" ht="15.75" customHeight="1">
      <c r="A423" s="17" t="s">
        <v>336</v>
      </c>
      <c r="B423" s="17" t="s">
        <v>13</v>
      </c>
      <c r="C423" s="17" t="s">
        <v>93</v>
      </c>
      <c r="D423" s="17" t="s">
        <v>85</v>
      </c>
      <c r="E423" s="17" t="s">
        <v>94</v>
      </c>
      <c r="F423" s="17" t="str">
        <f t="array" ref="F423">IFERROR(INDEX(PL4_TONG_HOP!$N$2:$N$5000,MATCH($C423,PL4_TONG_HOP!$A$2:$A$5000,0)),"")</f>
        <v/>
      </c>
      <c r="G423" s="17">
        <f>COUNTIFS(FILE_UPLOADS!$B:$B,$A423,FILE_UPLOADS!$D:$D,$C423)</f>
        <v>0</v>
      </c>
      <c r="H423" s="17" t="str">
        <f t="shared" si="1"/>
        <v/>
      </c>
    </row>
    <row r="424" ht="15.75" customHeight="1">
      <c r="A424" s="17" t="s">
        <v>336</v>
      </c>
      <c r="B424" s="17" t="s">
        <v>13</v>
      </c>
      <c r="C424" s="17" t="s">
        <v>95</v>
      </c>
      <c r="D424" s="17" t="s">
        <v>96</v>
      </c>
      <c r="E424" s="17" t="s">
        <v>97</v>
      </c>
      <c r="F424" s="17" t="str">
        <f t="array" ref="F424">IFERROR(INDEX(PL4_TONG_HOP!$N$2:$N$5000,MATCH($C424,PL4_TONG_HOP!$A$2:$A$5000,0)),"")</f>
        <v/>
      </c>
      <c r="G424" s="17">
        <f>COUNTIFS(FILE_UPLOADS!$B:$B,$A424,FILE_UPLOADS!$D:$D,$C424)</f>
        <v>0</v>
      </c>
      <c r="H424" s="17" t="str">
        <f t="shared" si="1"/>
        <v/>
      </c>
    </row>
    <row r="425" ht="15.75" customHeight="1">
      <c r="A425" s="17" t="s">
        <v>336</v>
      </c>
      <c r="B425" s="17" t="s">
        <v>13</v>
      </c>
      <c r="C425" s="17" t="s">
        <v>98</v>
      </c>
      <c r="D425" s="17" t="s">
        <v>99</v>
      </c>
      <c r="E425" s="17" t="s">
        <v>100</v>
      </c>
      <c r="F425" s="17" t="str">
        <f t="array" ref="F425">IFERROR(INDEX(PL4_TONG_HOP!$N$2:$N$5000,MATCH($C425,PL4_TONG_HOP!$A$2:$A$5000,0)),"")</f>
        <v/>
      </c>
      <c r="G425" s="17">
        <f>COUNTIFS(FILE_UPLOADS!$B:$B,$A425,FILE_UPLOADS!$D:$D,$C425)</f>
        <v>0</v>
      </c>
      <c r="H425" s="17" t="str">
        <f t="shared" si="1"/>
        <v/>
      </c>
    </row>
    <row r="426" ht="15.75" customHeight="1">
      <c r="A426" s="17" t="s">
        <v>336</v>
      </c>
      <c r="B426" s="17" t="s">
        <v>13</v>
      </c>
      <c r="C426" s="17" t="s">
        <v>101</v>
      </c>
      <c r="D426" s="17" t="s">
        <v>102</v>
      </c>
      <c r="E426" s="17" t="s">
        <v>103</v>
      </c>
      <c r="F426" s="17" t="str">
        <f t="array" ref="F426">IFERROR(INDEX(PL4_TONG_HOP!$N$2:$N$5000,MATCH($C426,PL4_TONG_HOP!$A$2:$A$5000,0)),"")</f>
        <v/>
      </c>
      <c r="G426" s="17">
        <f>COUNTIFS(FILE_UPLOADS!$B:$B,$A426,FILE_UPLOADS!$D:$D,$C426)</f>
        <v>0</v>
      </c>
      <c r="H426" s="17" t="str">
        <f t="shared" si="1"/>
        <v/>
      </c>
    </row>
    <row r="427" ht="15.75" customHeight="1">
      <c r="A427" s="17" t="s">
        <v>336</v>
      </c>
      <c r="B427" s="17" t="s">
        <v>13</v>
      </c>
      <c r="C427" s="17" t="s">
        <v>113</v>
      </c>
      <c r="D427" s="17" t="s">
        <v>114</v>
      </c>
      <c r="E427" s="17" t="s">
        <v>115</v>
      </c>
      <c r="F427" s="17" t="str">
        <f t="array" ref="F427">IFERROR(INDEX(PL4_TONG_HOP!$N$2:$N$5000,MATCH($C427,PL4_TONG_HOP!$A$2:$A$5000,0)),"")</f>
        <v/>
      </c>
      <c r="G427" s="17">
        <f>COUNTIFS(FILE_UPLOADS!$B:$B,$A427,FILE_UPLOADS!$D:$D,$C427)</f>
        <v>0</v>
      </c>
      <c r="H427" s="17" t="str">
        <f t="shared" si="1"/>
        <v/>
      </c>
    </row>
    <row r="428" ht="15.75" customHeight="1">
      <c r="A428" s="17" t="s">
        <v>336</v>
      </c>
      <c r="B428" s="17" t="s">
        <v>13</v>
      </c>
      <c r="C428" s="17" t="s">
        <v>116</v>
      </c>
      <c r="D428" s="17" t="s">
        <v>117</v>
      </c>
      <c r="E428" s="17" t="s">
        <v>118</v>
      </c>
      <c r="F428" s="17" t="str">
        <f t="array" ref="F428">IFERROR(INDEX(PL4_TONG_HOP!$N$2:$N$5000,MATCH($C428,PL4_TONG_HOP!$A$2:$A$5000,0)),"")</f>
        <v/>
      </c>
      <c r="G428" s="17">
        <f>COUNTIFS(FILE_UPLOADS!$B:$B,$A428,FILE_UPLOADS!$D:$D,$C428)</f>
        <v>0</v>
      </c>
      <c r="H428" s="17" t="str">
        <f t="shared" si="1"/>
        <v/>
      </c>
    </row>
    <row r="429" ht="15.75" customHeight="1">
      <c r="A429" s="17" t="s">
        <v>336</v>
      </c>
      <c r="B429" s="17" t="s">
        <v>13</v>
      </c>
      <c r="C429" s="17" t="s">
        <v>119</v>
      </c>
      <c r="D429" s="17" t="s">
        <v>120</v>
      </c>
      <c r="E429" s="17" t="s">
        <v>121</v>
      </c>
      <c r="F429" s="17" t="str">
        <f t="array" ref="F429">IFERROR(INDEX(PL4_TONG_HOP!$N$2:$N$5000,MATCH($C429,PL4_TONG_HOP!$A$2:$A$5000,0)),"")</f>
        <v/>
      </c>
      <c r="G429" s="17">
        <f>COUNTIFS(FILE_UPLOADS!$B:$B,$A429,FILE_UPLOADS!$D:$D,$C429)</f>
        <v>0</v>
      </c>
      <c r="H429" s="17" t="str">
        <f t="shared" si="1"/>
        <v/>
      </c>
    </row>
    <row r="430" ht="15.75" customHeight="1">
      <c r="A430" s="17" t="s">
        <v>336</v>
      </c>
      <c r="B430" s="17" t="s">
        <v>13</v>
      </c>
      <c r="C430" s="17" t="s">
        <v>122</v>
      </c>
      <c r="D430" s="17" t="s">
        <v>123</v>
      </c>
      <c r="E430" s="17" t="s">
        <v>124</v>
      </c>
      <c r="F430" s="17" t="str">
        <f t="array" ref="F430">IFERROR(INDEX(PL4_TONG_HOP!$N$2:$N$5000,MATCH($C430,PL4_TONG_HOP!$A$2:$A$5000,0)),"")</f>
        <v/>
      </c>
      <c r="G430" s="17">
        <f>COUNTIFS(FILE_UPLOADS!$B:$B,$A430,FILE_UPLOADS!$D:$D,$C430)</f>
        <v>0</v>
      </c>
      <c r="H430" s="17" t="str">
        <f t="shared" si="1"/>
        <v/>
      </c>
    </row>
    <row r="431" ht="15.75" customHeight="1">
      <c r="A431" s="17" t="s">
        <v>336</v>
      </c>
      <c r="B431" s="17" t="s">
        <v>13</v>
      </c>
      <c r="C431" s="17" t="s">
        <v>125</v>
      </c>
      <c r="D431" s="17" t="s">
        <v>126</v>
      </c>
      <c r="E431" s="17" t="s">
        <v>127</v>
      </c>
      <c r="F431" s="17" t="str">
        <f t="array" ref="F431">IFERROR(INDEX(PL4_TONG_HOP!$N$2:$N$5000,MATCH($C431,PL4_TONG_HOP!$A$2:$A$5000,0)),"")</f>
        <v/>
      </c>
      <c r="G431" s="17">
        <f>COUNTIFS(FILE_UPLOADS!$B:$B,$A431,FILE_UPLOADS!$D:$D,$C431)</f>
        <v>0</v>
      </c>
      <c r="H431" s="17" t="str">
        <f t="shared" si="1"/>
        <v/>
      </c>
    </row>
    <row r="432" ht="15.75" customHeight="1">
      <c r="A432" s="17" t="s">
        <v>336</v>
      </c>
      <c r="B432" s="17" t="s">
        <v>13</v>
      </c>
      <c r="C432" s="17" t="s">
        <v>128</v>
      </c>
      <c r="D432" s="17" t="s">
        <v>129</v>
      </c>
      <c r="E432" s="17" t="s">
        <v>130</v>
      </c>
      <c r="F432" s="17" t="str">
        <f t="array" ref="F432">IFERROR(INDEX(PL4_TONG_HOP!$N$2:$N$5000,MATCH($C432,PL4_TONG_HOP!$A$2:$A$5000,0)),"")</f>
        <v/>
      </c>
      <c r="G432" s="17">
        <f>COUNTIFS(FILE_UPLOADS!$B:$B,$A432,FILE_UPLOADS!$D:$D,$C432)</f>
        <v>0</v>
      </c>
      <c r="H432" s="17" t="str">
        <f t="shared" si="1"/>
        <v/>
      </c>
    </row>
    <row r="433" ht="15.75" customHeight="1">
      <c r="A433" s="17" t="s">
        <v>336</v>
      </c>
      <c r="B433" s="17" t="s">
        <v>13</v>
      </c>
      <c r="C433" s="17" t="s">
        <v>131</v>
      </c>
      <c r="D433" s="17" t="s">
        <v>132</v>
      </c>
      <c r="E433" s="17" t="s">
        <v>133</v>
      </c>
      <c r="F433" s="17" t="str">
        <f t="array" ref="F433">IFERROR(INDEX(PL4_TONG_HOP!$N$2:$N$5000,MATCH($C433,PL4_TONG_HOP!$A$2:$A$5000,0)),"")</f>
        <v/>
      </c>
      <c r="G433" s="17">
        <f>COUNTIFS(FILE_UPLOADS!$B:$B,$A433,FILE_UPLOADS!$D:$D,$C433)</f>
        <v>0</v>
      </c>
      <c r="H433" s="17" t="str">
        <f t="shared" si="1"/>
        <v/>
      </c>
    </row>
    <row r="434" ht="15.75" customHeight="1">
      <c r="A434" s="17" t="s">
        <v>336</v>
      </c>
      <c r="B434" s="17" t="s">
        <v>13</v>
      </c>
      <c r="C434" s="17" t="s">
        <v>134</v>
      </c>
      <c r="D434" s="17" t="s">
        <v>135</v>
      </c>
      <c r="E434" s="17" t="s">
        <v>136</v>
      </c>
      <c r="F434" s="17" t="str">
        <f t="array" ref="F434">IFERROR(INDEX(PL4_TONG_HOP!$N$2:$N$5000,MATCH($C434,PL4_TONG_HOP!$A$2:$A$5000,0)),"")</f>
        <v/>
      </c>
      <c r="G434" s="17">
        <f>COUNTIFS(FILE_UPLOADS!$B:$B,$A434,FILE_UPLOADS!$D:$D,$C434)</f>
        <v>0</v>
      </c>
      <c r="H434" s="17" t="str">
        <f t="shared" si="1"/>
        <v/>
      </c>
    </row>
    <row r="435" ht="15.75" customHeight="1">
      <c r="A435" s="17" t="s">
        <v>336</v>
      </c>
      <c r="B435" s="17" t="s">
        <v>13</v>
      </c>
      <c r="C435" s="17" t="s">
        <v>140</v>
      </c>
      <c r="D435" s="17" t="s">
        <v>141</v>
      </c>
      <c r="E435" s="17" t="s">
        <v>142</v>
      </c>
      <c r="F435" s="17" t="str">
        <f t="array" ref="F435">IFERROR(INDEX(PL4_TONG_HOP!$N$2:$N$5000,MATCH($C435,PL4_TONG_HOP!$A$2:$A$5000,0)),"")</f>
        <v/>
      </c>
      <c r="G435" s="17">
        <f>COUNTIFS(FILE_UPLOADS!$B:$B,$A435,FILE_UPLOADS!$D:$D,$C435)</f>
        <v>0</v>
      </c>
      <c r="H435" s="17" t="str">
        <f t="shared" si="1"/>
        <v/>
      </c>
    </row>
    <row r="436" ht="15.75" customHeight="1">
      <c r="A436" s="17" t="s">
        <v>336</v>
      </c>
      <c r="B436" s="17" t="s">
        <v>13</v>
      </c>
      <c r="C436" s="17" t="s">
        <v>143</v>
      </c>
      <c r="D436" s="17" t="s">
        <v>144</v>
      </c>
      <c r="E436" s="17" t="s">
        <v>145</v>
      </c>
      <c r="F436" s="17" t="str">
        <f t="array" ref="F436">IFERROR(INDEX(PL4_TONG_HOP!$N$2:$N$5000,MATCH($C436,PL4_TONG_HOP!$A$2:$A$5000,0)),"")</f>
        <v/>
      </c>
      <c r="G436" s="17">
        <f>COUNTIFS(FILE_UPLOADS!$B:$B,$A436,FILE_UPLOADS!$D:$D,$C436)</f>
        <v>0</v>
      </c>
      <c r="H436" s="17" t="str">
        <f t="shared" si="1"/>
        <v/>
      </c>
    </row>
    <row r="437" ht="15.75" customHeight="1">
      <c r="A437" s="17" t="s">
        <v>336</v>
      </c>
      <c r="B437" s="17" t="s">
        <v>13</v>
      </c>
      <c r="C437" s="17" t="s">
        <v>149</v>
      </c>
      <c r="D437" s="17" t="s">
        <v>150</v>
      </c>
      <c r="E437" s="17" t="s">
        <v>151</v>
      </c>
      <c r="F437" s="17" t="str">
        <f t="array" ref="F437">IFERROR(INDEX(PL4_TONG_HOP!$N$2:$N$5000,MATCH($C437,PL4_TONG_HOP!$A$2:$A$5000,0)),"")</f>
        <v/>
      </c>
      <c r="G437" s="17">
        <f>COUNTIFS(FILE_UPLOADS!$B:$B,$A437,FILE_UPLOADS!$D:$D,$C437)</f>
        <v>0</v>
      </c>
      <c r="H437" s="17" t="str">
        <f t="shared" si="1"/>
        <v/>
      </c>
    </row>
    <row r="438" ht="15.75" customHeight="1">
      <c r="A438" s="17" t="s">
        <v>336</v>
      </c>
      <c r="B438" s="17" t="s">
        <v>13</v>
      </c>
      <c r="C438" s="17" t="s">
        <v>152</v>
      </c>
      <c r="D438" s="17" t="s">
        <v>153</v>
      </c>
      <c r="E438" s="17" t="s">
        <v>154</v>
      </c>
      <c r="F438" s="17" t="str">
        <f t="array" ref="F438">IFERROR(INDEX(PL4_TONG_HOP!$N$2:$N$5000,MATCH($C438,PL4_TONG_HOP!$A$2:$A$5000,0)),"")</f>
        <v/>
      </c>
      <c r="G438" s="17">
        <f>COUNTIFS(FILE_UPLOADS!$B:$B,$A438,FILE_UPLOADS!$D:$D,$C438)</f>
        <v>0</v>
      </c>
      <c r="H438" s="17" t="str">
        <f t="shared" si="1"/>
        <v/>
      </c>
    </row>
    <row r="439" ht="15.75" customHeight="1">
      <c r="A439" s="17" t="s">
        <v>336</v>
      </c>
      <c r="B439" s="17" t="s">
        <v>13</v>
      </c>
      <c r="C439" s="17" t="s">
        <v>155</v>
      </c>
      <c r="D439" s="17" t="s">
        <v>156</v>
      </c>
      <c r="E439" s="17" t="s">
        <v>157</v>
      </c>
      <c r="F439" s="17" t="str">
        <f t="array" ref="F439">IFERROR(INDEX(PL4_TONG_HOP!$N$2:$N$5000,MATCH($C439,PL4_TONG_HOP!$A$2:$A$5000,0)),"")</f>
        <v/>
      </c>
      <c r="G439" s="17">
        <f>COUNTIFS(FILE_UPLOADS!$B:$B,$A439,FILE_UPLOADS!$D:$D,$C439)</f>
        <v>0</v>
      </c>
      <c r="H439" s="17" t="str">
        <f t="shared" si="1"/>
        <v/>
      </c>
    </row>
    <row r="440" ht="15.75" customHeight="1">
      <c r="A440" s="17" t="s">
        <v>336</v>
      </c>
      <c r="B440" s="17" t="s">
        <v>13</v>
      </c>
      <c r="C440" s="17" t="s">
        <v>161</v>
      </c>
      <c r="D440" s="17" t="s">
        <v>162</v>
      </c>
      <c r="E440" s="17" t="s">
        <v>163</v>
      </c>
      <c r="F440" s="17" t="str">
        <f t="array" ref="F440">IFERROR(INDEX(PL4_TONG_HOP!$N$2:$N$5000,MATCH($C440,PL4_TONG_HOP!$A$2:$A$5000,0)),"")</f>
        <v/>
      </c>
      <c r="G440" s="17">
        <f>COUNTIFS(FILE_UPLOADS!$B:$B,$A440,FILE_UPLOADS!$D:$D,$C440)</f>
        <v>0</v>
      </c>
      <c r="H440" s="17" t="str">
        <f t="shared" si="1"/>
        <v/>
      </c>
    </row>
    <row r="441" ht="15.75" customHeight="1">
      <c r="A441" s="17" t="s">
        <v>336</v>
      </c>
      <c r="B441" s="17" t="s">
        <v>13</v>
      </c>
      <c r="C441" s="17" t="s">
        <v>164</v>
      </c>
      <c r="D441" s="17" t="s">
        <v>165</v>
      </c>
      <c r="E441" s="17" t="s">
        <v>166</v>
      </c>
      <c r="F441" s="17" t="str">
        <f t="array" ref="F441">IFERROR(INDEX(PL4_TONG_HOP!$N$2:$N$5000,MATCH($C441,PL4_TONG_HOP!$A$2:$A$5000,0)),"")</f>
        <v/>
      </c>
      <c r="G441" s="17">
        <f>COUNTIFS(FILE_UPLOADS!$B:$B,$A441,FILE_UPLOADS!$D:$D,$C441)</f>
        <v>0</v>
      </c>
      <c r="H441" s="17" t="str">
        <f t="shared" si="1"/>
        <v/>
      </c>
    </row>
    <row r="442" ht="15.75" customHeight="1">
      <c r="A442" s="17" t="s">
        <v>336</v>
      </c>
      <c r="B442" s="17" t="s">
        <v>13</v>
      </c>
      <c r="C442" s="17" t="s">
        <v>167</v>
      </c>
      <c r="D442" s="17" t="s">
        <v>168</v>
      </c>
      <c r="E442" s="17" t="s">
        <v>169</v>
      </c>
      <c r="F442" s="17" t="str">
        <f t="array" ref="F442">IFERROR(INDEX(PL4_TONG_HOP!$N$2:$N$5000,MATCH($C442,PL4_TONG_HOP!$A$2:$A$5000,0)),"")</f>
        <v/>
      </c>
      <c r="G442" s="17">
        <f>COUNTIFS(FILE_UPLOADS!$B:$B,$A442,FILE_UPLOADS!$D:$D,$C442)</f>
        <v>0</v>
      </c>
      <c r="H442" s="17" t="str">
        <f t="shared" si="1"/>
        <v/>
      </c>
    </row>
    <row r="443" ht="15.75" customHeight="1">
      <c r="A443" s="17" t="s">
        <v>336</v>
      </c>
      <c r="B443" s="17" t="s">
        <v>13</v>
      </c>
      <c r="C443" s="17" t="s">
        <v>173</v>
      </c>
      <c r="D443" s="17" t="s">
        <v>174</v>
      </c>
      <c r="E443" s="17" t="s">
        <v>175</v>
      </c>
      <c r="F443" s="17" t="str">
        <f t="array" ref="F443">IFERROR(INDEX(PL4_TONG_HOP!$N$2:$N$5000,MATCH($C443,PL4_TONG_HOP!$A$2:$A$5000,0)),"")</f>
        <v/>
      </c>
      <c r="G443" s="17">
        <f>COUNTIFS(FILE_UPLOADS!$B:$B,$A443,FILE_UPLOADS!$D:$D,$C443)</f>
        <v>0</v>
      </c>
      <c r="H443" s="17" t="str">
        <f t="shared" si="1"/>
        <v/>
      </c>
    </row>
    <row r="444" ht="15.75" customHeight="1">
      <c r="A444" s="17" t="s">
        <v>336</v>
      </c>
      <c r="B444" s="17" t="s">
        <v>13</v>
      </c>
      <c r="C444" s="17" t="s">
        <v>176</v>
      </c>
      <c r="D444" s="17" t="s">
        <v>177</v>
      </c>
      <c r="E444" s="17" t="s">
        <v>178</v>
      </c>
      <c r="F444" s="17" t="str">
        <f t="array" ref="F444">IFERROR(INDEX(PL4_TONG_HOP!$N$2:$N$5000,MATCH($C444,PL4_TONG_HOP!$A$2:$A$5000,0)),"")</f>
        <v/>
      </c>
      <c r="G444" s="17">
        <f>COUNTIFS(FILE_UPLOADS!$B:$B,$A444,FILE_UPLOADS!$D:$D,$C444)</f>
        <v>0</v>
      </c>
      <c r="H444" s="17" t="str">
        <f t="shared" si="1"/>
        <v/>
      </c>
    </row>
    <row r="445" ht="15.75" customHeight="1">
      <c r="A445" s="17" t="s">
        <v>336</v>
      </c>
      <c r="B445" s="17" t="s">
        <v>13</v>
      </c>
      <c r="C445" s="17" t="s">
        <v>212</v>
      </c>
      <c r="D445" s="17" t="s">
        <v>213</v>
      </c>
      <c r="E445" s="17" t="s">
        <v>214</v>
      </c>
      <c r="F445" s="17" t="str">
        <f t="array" ref="F445">IFERROR(INDEX(PL4_TONG_HOP!$N$2:$N$5000,MATCH($C445,PL4_TONG_HOP!$A$2:$A$5000,0)),"")</f>
        <v/>
      </c>
      <c r="G445" s="17">
        <f>COUNTIFS(FILE_UPLOADS!$B:$B,$A445,FILE_UPLOADS!$D:$D,$C445)</f>
        <v>0</v>
      </c>
      <c r="H445" s="17" t="str">
        <f t="shared" si="1"/>
        <v/>
      </c>
    </row>
    <row r="446" ht="15.75" customHeight="1">
      <c r="A446" s="17" t="s">
        <v>336</v>
      </c>
      <c r="B446" s="17" t="s">
        <v>13</v>
      </c>
      <c r="C446" s="17" t="s">
        <v>215</v>
      </c>
      <c r="D446" s="17" t="s">
        <v>216</v>
      </c>
      <c r="E446" s="17" t="s">
        <v>217</v>
      </c>
      <c r="F446" s="17" t="str">
        <f t="array" ref="F446">IFERROR(INDEX(PL4_TONG_HOP!$N$2:$N$5000,MATCH($C446,PL4_TONG_HOP!$A$2:$A$5000,0)),"")</f>
        <v/>
      </c>
      <c r="G446" s="17">
        <f>COUNTIFS(FILE_UPLOADS!$B:$B,$A446,FILE_UPLOADS!$D:$D,$C446)</f>
        <v>0</v>
      </c>
      <c r="H446" s="17" t="str">
        <f t="shared" si="1"/>
        <v/>
      </c>
    </row>
    <row r="447" ht="15.75" customHeight="1">
      <c r="A447" s="17" t="s">
        <v>336</v>
      </c>
      <c r="B447" s="17" t="s">
        <v>13</v>
      </c>
      <c r="C447" s="17" t="s">
        <v>227</v>
      </c>
      <c r="D447" s="17" t="s">
        <v>228</v>
      </c>
      <c r="E447" s="17" t="s">
        <v>229</v>
      </c>
      <c r="F447" s="17" t="str">
        <f t="array" ref="F447">IFERROR(INDEX(PL4_TONG_HOP!$N$2:$N$5000,MATCH($C447,PL4_TONG_HOP!$A$2:$A$5000,0)),"")</f>
        <v/>
      </c>
      <c r="G447" s="17">
        <f>COUNTIFS(FILE_UPLOADS!$B:$B,$A447,FILE_UPLOADS!$D:$D,$C447)</f>
        <v>0</v>
      </c>
      <c r="H447" s="17" t="str">
        <f t="shared" si="1"/>
        <v/>
      </c>
    </row>
    <row r="448" ht="15.75" customHeight="1">
      <c r="A448" s="17" t="s">
        <v>336</v>
      </c>
      <c r="B448" s="17" t="s">
        <v>13</v>
      </c>
      <c r="C448" s="17" t="s">
        <v>230</v>
      </c>
      <c r="D448" s="17" t="s">
        <v>231</v>
      </c>
      <c r="E448" s="17" t="s">
        <v>232</v>
      </c>
      <c r="F448" s="17" t="str">
        <f t="array" ref="F448">IFERROR(INDEX(PL4_TONG_HOP!$N$2:$N$5000,MATCH($C448,PL4_TONG_HOP!$A$2:$A$5000,0)),"")</f>
        <v/>
      </c>
      <c r="G448" s="17">
        <f>COUNTIFS(FILE_UPLOADS!$B:$B,$A448,FILE_UPLOADS!$D:$D,$C448)</f>
        <v>0</v>
      </c>
      <c r="H448" s="17" t="str">
        <f t="shared" si="1"/>
        <v/>
      </c>
    </row>
    <row r="449" ht="15.75" customHeight="1">
      <c r="A449" s="17" t="s">
        <v>336</v>
      </c>
      <c r="B449" s="17" t="s">
        <v>13</v>
      </c>
      <c r="C449" s="17" t="s">
        <v>236</v>
      </c>
      <c r="D449" s="17" t="s">
        <v>237</v>
      </c>
      <c r="E449" s="17" t="s">
        <v>238</v>
      </c>
      <c r="F449" s="17" t="str">
        <f t="array" ref="F449">IFERROR(INDEX(PL4_TONG_HOP!$N$2:$N$5000,MATCH($C449,PL4_TONG_HOP!$A$2:$A$5000,0)),"")</f>
        <v/>
      </c>
      <c r="G449" s="17">
        <f>COUNTIFS(FILE_UPLOADS!$B:$B,$A449,FILE_UPLOADS!$D:$D,$C449)</f>
        <v>0</v>
      </c>
      <c r="H449" s="17" t="str">
        <f t="shared" si="1"/>
        <v/>
      </c>
    </row>
    <row r="450" ht="15.75" customHeight="1">
      <c r="A450" s="17" t="s">
        <v>336</v>
      </c>
      <c r="B450" s="17" t="s">
        <v>13</v>
      </c>
      <c r="C450" s="17" t="s">
        <v>239</v>
      </c>
      <c r="D450" s="17" t="s">
        <v>240</v>
      </c>
      <c r="E450" s="17" t="s">
        <v>241</v>
      </c>
      <c r="F450" s="17" t="str">
        <f t="array" ref="F450">IFERROR(INDEX(PL4_TONG_HOP!$N$2:$N$5000,MATCH($C450,PL4_TONG_HOP!$A$2:$A$5000,0)),"")</f>
        <v/>
      </c>
      <c r="G450" s="17">
        <f>COUNTIFS(FILE_UPLOADS!$B:$B,$A450,FILE_UPLOADS!$D:$D,$C450)</f>
        <v>0</v>
      </c>
      <c r="H450" s="17" t="str">
        <f t="shared" si="1"/>
        <v/>
      </c>
    </row>
    <row r="451" ht="15.75" customHeight="1">
      <c r="A451" s="17" t="s">
        <v>336</v>
      </c>
      <c r="B451" s="17" t="s">
        <v>13</v>
      </c>
      <c r="C451" s="17" t="s">
        <v>242</v>
      </c>
      <c r="D451" s="17" t="s">
        <v>243</v>
      </c>
      <c r="E451" s="17" t="s">
        <v>244</v>
      </c>
      <c r="F451" s="17" t="str">
        <f t="array" ref="F451">IFERROR(INDEX(PL4_TONG_HOP!$N$2:$N$5000,MATCH($C451,PL4_TONG_HOP!$A$2:$A$5000,0)),"")</f>
        <v/>
      </c>
      <c r="G451" s="17">
        <f>COUNTIFS(FILE_UPLOADS!$B:$B,$A451,FILE_UPLOADS!$D:$D,$C451)</f>
        <v>0</v>
      </c>
      <c r="H451" s="17" t="str">
        <f t="shared" si="1"/>
        <v/>
      </c>
    </row>
    <row r="452" ht="15.75" customHeight="1">
      <c r="A452" s="17" t="s">
        <v>336</v>
      </c>
      <c r="B452" s="17" t="s">
        <v>13</v>
      </c>
      <c r="C452" s="17" t="s">
        <v>248</v>
      </c>
      <c r="D452" s="17" t="s">
        <v>249</v>
      </c>
      <c r="E452" s="17" t="s">
        <v>250</v>
      </c>
      <c r="F452" s="17" t="str">
        <f t="array" ref="F452">IFERROR(INDEX(PL4_TONG_HOP!$N$2:$N$5000,MATCH($C452,PL4_TONG_HOP!$A$2:$A$5000,0)),"")</f>
        <v/>
      </c>
      <c r="G452" s="17">
        <f>COUNTIFS(FILE_UPLOADS!$B:$B,$A452,FILE_UPLOADS!$D:$D,$C452)</f>
        <v>0</v>
      </c>
      <c r="H452" s="17" t="str">
        <f t="shared" si="1"/>
        <v/>
      </c>
    </row>
    <row r="453" ht="15.75" customHeight="1">
      <c r="A453" s="17" t="s">
        <v>336</v>
      </c>
      <c r="B453" s="17" t="s">
        <v>13</v>
      </c>
      <c r="C453" s="17" t="s">
        <v>251</v>
      </c>
      <c r="D453" s="17" t="s">
        <v>252</v>
      </c>
      <c r="E453" s="17" t="s">
        <v>253</v>
      </c>
      <c r="F453" s="17" t="str">
        <f t="array" ref="F453">IFERROR(INDEX(PL4_TONG_HOP!$N$2:$N$5000,MATCH($C453,PL4_TONG_HOP!$A$2:$A$5000,0)),"")</f>
        <v/>
      </c>
      <c r="G453" s="17">
        <f>COUNTIFS(FILE_UPLOADS!$B:$B,$A453,FILE_UPLOADS!$D:$D,$C453)</f>
        <v>0</v>
      </c>
      <c r="H453" s="17" t="str">
        <f t="shared" si="1"/>
        <v/>
      </c>
    </row>
    <row r="454" ht="15.75" customHeight="1">
      <c r="A454" s="17" t="s">
        <v>336</v>
      </c>
      <c r="B454" s="17" t="s">
        <v>13</v>
      </c>
      <c r="C454" s="17" t="s">
        <v>254</v>
      </c>
      <c r="D454" s="17" t="s">
        <v>255</v>
      </c>
      <c r="E454" s="17" t="s">
        <v>256</v>
      </c>
      <c r="F454" s="17" t="str">
        <f t="array" ref="F454">IFERROR(INDEX(PL4_TONG_HOP!$N$2:$N$5000,MATCH($C454,PL4_TONG_HOP!$A$2:$A$5000,0)),"")</f>
        <v/>
      </c>
      <c r="G454" s="17">
        <f>COUNTIFS(FILE_UPLOADS!$B:$B,$A454,FILE_UPLOADS!$D:$D,$C454)</f>
        <v>0</v>
      </c>
      <c r="H454" s="17" t="str">
        <f t="shared" si="1"/>
        <v/>
      </c>
    </row>
    <row r="455" ht="15.75" customHeight="1">
      <c r="A455" s="17" t="s">
        <v>336</v>
      </c>
      <c r="B455" s="17" t="s">
        <v>13</v>
      </c>
      <c r="C455" s="17" t="s">
        <v>260</v>
      </c>
      <c r="D455" s="17" t="s">
        <v>261</v>
      </c>
      <c r="E455" s="17" t="s">
        <v>262</v>
      </c>
      <c r="F455" s="17" t="str">
        <f t="array" ref="F455">IFERROR(INDEX(PL4_TONG_HOP!$N$2:$N$5000,MATCH($C455,PL4_TONG_HOP!$A$2:$A$5000,0)),"")</f>
        <v/>
      </c>
      <c r="G455" s="17">
        <f>COUNTIFS(FILE_UPLOADS!$B:$B,$A455,FILE_UPLOADS!$D:$D,$C455)</f>
        <v>0</v>
      </c>
      <c r="H455" s="17" t="str">
        <f t="shared" si="1"/>
        <v/>
      </c>
    </row>
    <row r="456" ht="15.75" customHeight="1">
      <c r="A456" s="17" t="s">
        <v>336</v>
      </c>
      <c r="B456" s="17" t="s">
        <v>13</v>
      </c>
      <c r="C456" s="17" t="s">
        <v>263</v>
      </c>
      <c r="D456" s="17" t="s">
        <v>264</v>
      </c>
      <c r="E456" s="17" t="s">
        <v>265</v>
      </c>
      <c r="F456" s="17" t="str">
        <f t="array" ref="F456">IFERROR(INDEX(PL4_TONG_HOP!$N$2:$N$5000,MATCH($C456,PL4_TONG_HOP!$A$2:$A$5000,0)),"")</f>
        <v/>
      </c>
      <c r="G456" s="17">
        <f>COUNTIFS(FILE_UPLOADS!$B:$B,$A456,FILE_UPLOADS!$D:$D,$C456)</f>
        <v>0</v>
      </c>
      <c r="H456" s="17" t="str">
        <f t="shared" si="1"/>
        <v/>
      </c>
    </row>
    <row r="457" ht="15.75" customHeight="1">
      <c r="A457" s="17" t="s">
        <v>336</v>
      </c>
      <c r="B457" s="17" t="s">
        <v>13</v>
      </c>
      <c r="C457" s="17" t="s">
        <v>266</v>
      </c>
      <c r="D457" s="17" t="s">
        <v>267</v>
      </c>
      <c r="E457" s="17" t="s">
        <v>268</v>
      </c>
      <c r="F457" s="17" t="str">
        <f t="array" ref="F457">IFERROR(INDEX(PL4_TONG_HOP!$N$2:$N$5000,MATCH($C457,PL4_TONG_HOP!$A$2:$A$5000,0)),"")</f>
        <v/>
      </c>
      <c r="G457" s="17">
        <f>COUNTIFS(FILE_UPLOADS!$B:$B,$A457,FILE_UPLOADS!$D:$D,$C457)</f>
        <v>0</v>
      </c>
      <c r="H457" s="17" t="str">
        <f t="shared" si="1"/>
        <v/>
      </c>
    </row>
    <row r="458" ht="15.75" customHeight="1">
      <c r="A458" s="17" t="s">
        <v>336</v>
      </c>
      <c r="B458" s="17" t="s">
        <v>13</v>
      </c>
      <c r="C458" s="17" t="s">
        <v>269</v>
      </c>
      <c r="D458" s="17" t="s">
        <v>270</v>
      </c>
      <c r="E458" s="17" t="s">
        <v>271</v>
      </c>
      <c r="F458" s="17" t="str">
        <f t="array" ref="F458">IFERROR(INDEX(PL4_TONG_HOP!$N$2:$N$5000,MATCH($C458,PL4_TONG_HOP!$A$2:$A$5000,0)),"")</f>
        <v/>
      </c>
      <c r="G458" s="17">
        <f>COUNTIFS(FILE_UPLOADS!$B:$B,$A458,FILE_UPLOADS!$D:$D,$C458)</f>
        <v>0</v>
      </c>
      <c r="H458" s="17" t="str">
        <f t="shared" si="1"/>
        <v/>
      </c>
    </row>
    <row r="459" ht="15.75" customHeight="1">
      <c r="A459" s="17" t="s">
        <v>336</v>
      </c>
      <c r="B459" s="17" t="s">
        <v>13</v>
      </c>
      <c r="C459" s="17" t="s">
        <v>272</v>
      </c>
      <c r="D459" s="17" t="s">
        <v>273</v>
      </c>
      <c r="E459" s="17" t="s">
        <v>274</v>
      </c>
      <c r="F459" s="17" t="str">
        <f t="array" ref="F459">IFERROR(INDEX(PL4_TONG_HOP!$N$2:$N$5000,MATCH($C459,PL4_TONG_HOP!$A$2:$A$5000,0)),"")</f>
        <v/>
      </c>
      <c r="G459" s="17">
        <f>COUNTIFS(FILE_UPLOADS!$B:$B,$A459,FILE_UPLOADS!$D:$D,$C459)</f>
        <v>0</v>
      </c>
      <c r="H459" s="17" t="str">
        <f t="shared" si="1"/>
        <v/>
      </c>
    </row>
    <row r="460" ht="15.75" customHeight="1">
      <c r="A460" s="17" t="s">
        <v>336</v>
      </c>
      <c r="B460" s="17" t="s">
        <v>13</v>
      </c>
      <c r="C460" s="17" t="s">
        <v>275</v>
      </c>
      <c r="D460" s="17" t="s">
        <v>276</v>
      </c>
      <c r="E460" s="17" t="s">
        <v>277</v>
      </c>
      <c r="F460" s="17" t="str">
        <f t="array" ref="F460">IFERROR(INDEX(PL4_TONG_HOP!$N$2:$N$5000,MATCH($C460,PL4_TONG_HOP!$A$2:$A$5000,0)),"")</f>
        <v/>
      </c>
      <c r="G460" s="17">
        <f>COUNTIFS(FILE_UPLOADS!$B:$B,$A460,FILE_UPLOADS!$D:$D,$C460)</f>
        <v>0</v>
      </c>
      <c r="H460" s="17" t="str">
        <f t="shared" si="1"/>
        <v/>
      </c>
    </row>
    <row r="461" ht="15.75" customHeight="1">
      <c r="A461" s="17" t="s">
        <v>336</v>
      </c>
      <c r="B461" s="17" t="s">
        <v>13</v>
      </c>
      <c r="C461" s="17" t="s">
        <v>278</v>
      </c>
      <c r="D461" s="17" t="s">
        <v>279</v>
      </c>
      <c r="E461" s="17" t="s">
        <v>280</v>
      </c>
      <c r="F461" s="17" t="str">
        <f t="array" ref="F461">IFERROR(INDEX(PL4_TONG_HOP!$N$2:$N$5000,MATCH($C461,PL4_TONG_HOP!$A$2:$A$5000,0)),"")</f>
        <v/>
      </c>
      <c r="G461" s="17">
        <f>COUNTIFS(FILE_UPLOADS!$B:$B,$A461,FILE_UPLOADS!$D:$D,$C461)</f>
        <v>0</v>
      </c>
      <c r="H461" s="17" t="str">
        <f t="shared" si="1"/>
        <v/>
      </c>
    </row>
    <row r="462" ht="15.75" customHeight="1">
      <c r="A462" s="17" t="s">
        <v>336</v>
      </c>
      <c r="B462" s="17" t="s">
        <v>13</v>
      </c>
      <c r="C462" s="17" t="s">
        <v>281</v>
      </c>
      <c r="D462" s="17" t="s">
        <v>282</v>
      </c>
      <c r="E462" s="17" t="s">
        <v>283</v>
      </c>
      <c r="F462" s="17" t="str">
        <f t="array" ref="F462">IFERROR(INDEX(PL4_TONG_HOP!$N$2:$N$5000,MATCH($C462,PL4_TONG_HOP!$A$2:$A$5000,0)),"")</f>
        <v/>
      </c>
      <c r="G462" s="17">
        <f>COUNTIFS(FILE_UPLOADS!$B:$B,$A462,FILE_UPLOADS!$D:$D,$C462)</f>
        <v>0</v>
      </c>
      <c r="H462" s="17" t="str">
        <f t="shared" si="1"/>
        <v/>
      </c>
    </row>
    <row r="463" ht="15.75" customHeight="1">
      <c r="A463" s="17" t="s">
        <v>336</v>
      </c>
      <c r="B463" s="17" t="s">
        <v>13</v>
      </c>
      <c r="C463" s="17" t="s">
        <v>290</v>
      </c>
      <c r="D463" s="17" t="s">
        <v>291</v>
      </c>
      <c r="E463" s="17" t="s">
        <v>292</v>
      </c>
      <c r="F463" s="17" t="str">
        <f t="array" ref="F463">IFERROR(INDEX(PL4_TONG_HOP!$N$2:$N$5000,MATCH($C463,PL4_TONG_HOP!$A$2:$A$5000,0)),"")</f>
        <v/>
      </c>
      <c r="G463" s="17">
        <f>COUNTIFS(FILE_UPLOADS!$B:$B,$A463,FILE_UPLOADS!$D:$D,$C463)</f>
        <v>0</v>
      </c>
      <c r="H463" s="17" t="str">
        <f t="shared" si="1"/>
        <v/>
      </c>
    </row>
    <row r="464" ht="15.75" customHeight="1">
      <c r="A464" s="17" t="s">
        <v>336</v>
      </c>
      <c r="B464" s="17" t="s">
        <v>13</v>
      </c>
      <c r="C464" s="17" t="s">
        <v>293</v>
      </c>
      <c r="D464" s="17" t="s">
        <v>294</v>
      </c>
      <c r="E464" s="17" t="s">
        <v>295</v>
      </c>
      <c r="F464" s="17" t="str">
        <f t="array" ref="F464">IFERROR(INDEX(PL4_TONG_HOP!$N$2:$N$5000,MATCH($C464,PL4_TONG_HOP!$A$2:$A$5000,0)),"")</f>
        <v/>
      </c>
      <c r="G464" s="17">
        <f>COUNTIFS(FILE_UPLOADS!$B:$B,$A464,FILE_UPLOADS!$D:$D,$C464)</f>
        <v>0</v>
      </c>
      <c r="H464" s="17" t="str">
        <f t="shared" si="1"/>
        <v/>
      </c>
    </row>
    <row r="465" ht="15.75" customHeight="1">
      <c r="A465" s="17" t="s">
        <v>336</v>
      </c>
      <c r="B465" s="17" t="s">
        <v>13</v>
      </c>
      <c r="C465" s="17" t="s">
        <v>299</v>
      </c>
      <c r="D465" s="17" t="s">
        <v>300</v>
      </c>
      <c r="E465" s="17" t="s">
        <v>301</v>
      </c>
      <c r="F465" s="17" t="str">
        <f t="array" ref="F465">IFERROR(INDEX(PL4_TONG_HOP!$N$2:$N$5000,MATCH($C465,PL4_TONG_HOP!$A$2:$A$5000,0)),"")</f>
        <v/>
      </c>
      <c r="G465" s="17">
        <f>COUNTIFS(FILE_UPLOADS!$B:$B,$A465,FILE_UPLOADS!$D:$D,$C465)</f>
        <v>0</v>
      </c>
      <c r="H465" s="17" t="str">
        <f t="shared" si="1"/>
        <v/>
      </c>
    </row>
    <row r="466" ht="15.75" customHeight="1">
      <c r="A466" s="17" t="s">
        <v>336</v>
      </c>
      <c r="B466" s="17" t="s">
        <v>13</v>
      </c>
      <c r="C466" s="17" t="s">
        <v>302</v>
      </c>
      <c r="D466" s="17" t="s">
        <v>303</v>
      </c>
      <c r="E466" s="17" t="s">
        <v>304</v>
      </c>
      <c r="F466" s="17" t="str">
        <f t="array" ref="F466">IFERROR(INDEX(PL4_TONG_HOP!$N$2:$N$5000,MATCH($C466,PL4_TONG_HOP!$A$2:$A$5000,0)),"")</f>
        <v/>
      </c>
      <c r="G466" s="17">
        <f>COUNTIFS(FILE_UPLOADS!$B:$B,$A466,FILE_UPLOADS!$D:$D,$C466)</f>
        <v>0</v>
      </c>
      <c r="H466" s="17" t="str">
        <f t="shared" si="1"/>
        <v/>
      </c>
    </row>
    <row r="467" ht="15.75" customHeight="1">
      <c r="A467" s="17" t="s">
        <v>336</v>
      </c>
      <c r="B467" s="17" t="s">
        <v>13</v>
      </c>
      <c r="C467" s="17" t="s">
        <v>308</v>
      </c>
      <c r="D467" s="17" t="s">
        <v>309</v>
      </c>
      <c r="E467" s="17" t="s">
        <v>310</v>
      </c>
      <c r="F467" s="17" t="str">
        <f t="array" ref="F467">IFERROR(INDEX(PL4_TONG_HOP!$N$2:$N$5000,MATCH($C467,PL4_TONG_HOP!$A$2:$A$5000,0)),"")</f>
        <v/>
      </c>
      <c r="G467" s="17">
        <f>COUNTIFS(FILE_UPLOADS!$B:$B,$A467,FILE_UPLOADS!$D:$D,$C467)</f>
        <v>0</v>
      </c>
      <c r="H467" s="17" t="str">
        <f t="shared" si="1"/>
        <v/>
      </c>
    </row>
    <row r="468" ht="15.75" customHeight="1">
      <c r="A468" s="17" t="s">
        <v>336</v>
      </c>
      <c r="B468" s="17" t="s">
        <v>13</v>
      </c>
      <c r="C468" s="17" t="s">
        <v>311</v>
      </c>
      <c r="D468" s="17" t="s">
        <v>312</v>
      </c>
      <c r="E468" s="17" t="s">
        <v>313</v>
      </c>
      <c r="F468" s="17" t="str">
        <f t="array" ref="F468">IFERROR(INDEX(PL4_TONG_HOP!$N$2:$N$5000,MATCH($C468,PL4_TONG_HOP!$A$2:$A$5000,0)),"")</f>
        <v/>
      </c>
      <c r="G468" s="17">
        <f>COUNTIFS(FILE_UPLOADS!$B:$B,$A468,FILE_UPLOADS!$D:$D,$C468)</f>
        <v>0</v>
      </c>
      <c r="H468" s="17" t="str">
        <f t="shared" si="1"/>
        <v/>
      </c>
    </row>
    <row r="469" ht="15.75" customHeight="1">
      <c r="A469" s="17" t="s">
        <v>336</v>
      </c>
      <c r="B469" s="17" t="s">
        <v>13</v>
      </c>
      <c r="C469" s="17" t="s">
        <v>314</v>
      </c>
      <c r="D469" s="17" t="s">
        <v>315</v>
      </c>
      <c r="E469" s="17" t="s">
        <v>316</v>
      </c>
      <c r="F469" s="17" t="str">
        <f t="array" ref="F469">IFERROR(INDEX(PL4_TONG_HOP!$N$2:$N$5000,MATCH($C469,PL4_TONG_HOP!$A$2:$A$5000,0)),"")</f>
        <v/>
      </c>
      <c r="G469" s="17">
        <f>COUNTIFS(FILE_UPLOADS!$B:$B,$A469,FILE_UPLOADS!$D:$D,$C469)</f>
        <v>0</v>
      </c>
      <c r="H469" s="17" t="str">
        <f t="shared" si="1"/>
        <v/>
      </c>
    </row>
    <row r="470" ht="15.75" customHeight="1">
      <c r="A470" s="17" t="s">
        <v>337</v>
      </c>
      <c r="B470" s="17" t="s">
        <v>14</v>
      </c>
      <c r="C470" s="17" t="s">
        <v>46</v>
      </c>
      <c r="D470" s="17" t="s">
        <v>47</v>
      </c>
      <c r="E470" s="17" t="s">
        <v>48</v>
      </c>
      <c r="F470" s="17" t="str">
        <f t="array" ref="F470">IFERROR(INDEX(PL4_TONG_HOP!$O$2:$O$5000,MATCH($C470,PL4_TONG_HOP!$A$2:$A$5000,0)),"")</f>
        <v/>
      </c>
      <c r="G470" s="17">
        <f>COUNTIFS(FILE_UPLOADS!$B:$B,$A470,FILE_UPLOADS!$D:$D,$C470)</f>
        <v>0</v>
      </c>
      <c r="H470" s="17" t="str">
        <f t="shared" si="1"/>
        <v/>
      </c>
    </row>
    <row r="471" ht="15.75" customHeight="1">
      <c r="A471" s="17" t="s">
        <v>337</v>
      </c>
      <c r="B471" s="17" t="s">
        <v>14</v>
      </c>
      <c r="C471" s="17" t="s">
        <v>78</v>
      </c>
      <c r="D471" s="17" t="s">
        <v>79</v>
      </c>
      <c r="E471" s="17" t="s">
        <v>80</v>
      </c>
      <c r="F471" s="17" t="str">
        <f t="array" ref="F471">IFERROR(INDEX(PL4_TONG_HOP!$O$2:$O$5000,MATCH($C471,PL4_TONG_HOP!$A$2:$A$5000,0)),"")</f>
        <v/>
      </c>
      <c r="G471" s="17">
        <f>COUNTIFS(FILE_UPLOADS!$B:$B,$A471,FILE_UPLOADS!$D:$D,$C471)</f>
        <v>0</v>
      </c>
      <c r="H471" s="17" t="str">
        <f t="shared" si="1"/>
        <v/>
      </c>
    </row>
    <row r="472" ht="15.75" customHeight="1">
      <c r="A472" s="17" t="s">
        <v>337</v>
      </c>
      <c r="B472" s="17" t="s">
        <v>14</v>
      </c>
      <c r="C472" s="17" t="s">
        <v>81</v>
      </c>
      <c r="D472" s="17" t="s">
        <v>82</v>
      </c>
      <c r="E472" s="17" t="s">
        <v>83</v>
      </c>
      <c r="F472" s="17" t="str">
        <f t="array" ref="F472">IFERROR(INDEX(PL4_TONG_HOP!$O$2:$O$5000,MATCH($C472,PL4_TONG_HOP!$A$2:$A$5000,0)),"")</f>
        <v/>
      </c>
      <c r="G472" s="17">
        <f>COUNTIFS(FILE_UPLOADS!$B:$B,$A472,FILE_UPLOADS!$D:$D,$C472)</f>
        <v>0</v>
      </c>
      <c r="H472" s="17" t="str">
        <f t="shared" si="1"/>
        <v/>
      </c>
    </row>
    <row r="473" ht="15.75" customHeight="1">
      <c r="A473" s="17" t="s">
        <v>337</v>
      </c>
      <c r="B473" s="17" t="s">
        <v>14</v>
      </c>
      <c r="C473" s="17" t="s">
        <v>87</v>
      </c>
      <c r="D473" s="17" t="s">
        <v>88</v>
      </c>
      <c r="E473" s="17" t="s">
        <v>89</v>
      </c>
      <c r="F473" s="17" t="str">
        <f t="array" ref="F473">IFERROR(INDEX(PL4_TONG_HOP!$O$2:$O$5000,MATCH($C473,PL4_TONG_HOP!$A$2:$A$5000,0)),"")</f>
        <v/>
      </c>
      <c r="G473" s="17">
        <f>COUNTIFS(FILE_UPLOADS!$B:$B,$A473,FILE_UPLOADS!$D:$D,$C473)</f>
        <v>0</v>
      </c>
      <c r="H473" s="17" t="str">
        <f t="shared" si="1"/>
        <v/>
      </c>
    </row>
    <row r="474" ht="15.75" customHeight="1">
      <c r="A474" s="17" t="s">
        <v>337</v>
      </c>
      <c r="B474" s="17" t="s">
        <v>14</v>
      </c>
      <c r="C474" s="17" t="s">
        <v>90</v>
      </c>
      <c r="D474" s="17" t="s">
        <v>91</v>
      </c>
      <c r="E474" s="17" t="s">
        <v>92</v>
      </c>
      <c r="F474" s="17" t="str">
        <f t="array" ref="F474">IFERROR(INDEX(PL4_TONG_HOP!$O$2:$O$5000,MATCH($C474,PL4_TONG_HOP!$A$2:$A$5000,0)),"")</f>
        <v/>
      </c>
      <c r="G474" s="17">
        <f>COUNTIFS(FILE_UPLOADS!$B:$B,$A474,FILE_UPLOADS!$D:$D,$C474)</f>
        <v>0</v>
      </c>
      <c r="H474" s="17" t="str">
        <f t="shared" si="1"/>
        <v/>
      </c>
    </row>
    <row r="475" ht="15.75" customHeight="1">
      <c r="A475" s="17" t="s">
        <v>337</v>
      </c>
      <c r="B475" s="17" t="s">
        <v>14</v>
      </c>
      <c r="C475" s="17" t="s">
        <v>93</v>
      </c>
      <c r="D475" s="17" t="s">
        <v>85</v>
      </c>
      <c r="E475" s="17" t="s">
        <v>94</v>
      </c>
      <c r="F475" s="17" t="str">
        <f t="array" ref="F475">IFERROR(INDEX(PL4_TONG_HOP!$O$2:$O$5000,MATCH($C475,PL4_TONG_HOP!$A$2:$A$5000,0)),"")</f>
        <v/>
      </c>
      <c r="G475" s="17">
        <f>COUNTIFS(FILE_UPLOADS!$B:$B,$A475,FILE_UPLOADS!$D:$D,$C475)</f>
        <v>0</v>
      </c>
      <c r="H475" s="17" t="str">
        <f t="shared" si="1"/>
        <v/>
      </c>
    </row>
    <row r="476" ht="15.75" customHeight="1">
      <c r="A476" s="17" t="s">
        <v>337</v>
      </c>
      <c r="B476" s="17" t="s">
        <v>14</v>
      </c>
      <c r="C476" s="17" t="s">
        <v>95</v>
      </c>
      <c r="D476" s="17" t="s">
        <v>96</v>
      </c>
      <c r="E476" s="17" t="s">
        <v>97</v>
      </c>
      <c r="F476" s="17" t="str">
        <f t="array" ref="F476">IFERROR(INDEX(PL4_TONG_HOP!$O$2:$O$5000,MATCH($C476,PL4_TONG_HOP!$A$2:$A$5000,0)),"")</f>
        <v/>
      </c>
      <c r="G476" s="17">
        <f>COUNTIFS(FILE_UPLOADS!$B:$B,$A476,FILE_UPLOADS!$D:$D,$C476)</f>
        <v>0</v>
      </c>
      <c r="H476" s="17" t="str">
        <f t="shared" si="1"/>
        <v/>
      </c>
    </row>
    <row r="477" ht="15.75" customHeight="1">
      <c r="A477" s="17" t="s">
        <v>337</v>
      </c>
      <c r="B477" s="17" t="s">
        <v>14</v>
      </c>
      <c r="C477" s="17" t="s">
        <v>98</v>
      </c>
      <c r="D477" s="17" t="s">
        <v>99</v>
      </c>
      <c r="E477" s="17" t="s">
        <v>100</v>
      </c>
      <c r="F477" s="17" t="str">
        <f t="array" ref="F477">IFERROR(INDEX(PL4_TONG_HOP!$O$2:$O$5000,MATCH($C477,PL4_TONG_HOP!$A$2:$A$5000,0)),"")</f>
        <v/>
      </c>
      <c r="G477" s="17">
        <f>COUNTIFS(FILE_UPLOADS!$B:$B,$A477,FILE_UPLOADS!$D:$D,$C477)</f>
        <v>0</v>
      </c>
      <c r="H477" s="17" t="str">
        <f t="shared" si="1"/>
        <v/>
      </c>
    </row>
    <row r="478" ht="15.75" customHeight="1">
      <c r="A478" s="17" t="s">
        <v>337</v>
      </c>
      <c r="B478" s="17" t="s">
        <v>14</v>
      </c>
      <c r="C478" s="17" t="s">
        <v>101</v>
      </c>
      <c r="D478" s="17" t="s">
        <v>102</v>
      </c>
      <c r="E478" s="17" t="s">
        <v>103</v>
      </c>
      <c r="F478" s="17" t="str">
        <f t="array" ref="F478">IFERROR(INDEX(PL4_TONG_HOP!$O$2:$O$5000,MATCH($C478,PL4_TONG_HOP!$A$2:$A$5000,0)),"")</f>
        <v/>
      </c>
      <c r="G478" s="17">
        <f>COUNTIFS(FILE_UPLOADS!$B:$B,$A478,FILE_UPLOADS!$D:$D,$C478)</f>
        <v>0</v>
      </c>
      <c r="H478" s="17" t="str">
        <f t="shared" si="1"/>
        <v/>
      </c>
    </row>
    <row r="479" ht="15.75" customHeight="1">
      <c r="A479" s="17" t="s">
        <v>337</v>
      </c>
      <c r="B479" s="17" t="s">
        <v>14</v>
      </c>
      <c r="C479" s="17" t="s">
        <v>113</v>
      </c>
      <c r="D479" s="17" t="s">
        <v>114</v>
      </c>
      <c r="E479" s="17" t="s">
        <v>115</v>
      </c>
      <c r="F479" s="17" t="str">
        <f t="array" ref="F479">IFERROR(INDEX(PL4_TONG_HOP!$O$2:$O$5000,MATCH($C479,PL4_TONG_HOP!$A$2:$A$5000,0)),"")</f>
        <v/>
      </c>
      <c r="G479" s="17">
        <f>COUNTIFS(FILE_UPLOADS!$B:$B,$A479,FILE_UPLOADS!$D:$D,$C479)</f>
        <v>0</v>
      </c>
      <c r="H479" s="17" t="str">
        <f t="shared" si="1"/>
        <v/>
      </c>
    </row>
    <row r="480" ht="15.75" customHeight="1">
      <c r="A480" s="17" t="s">
        <v>337</v>
      </c>
      <c r="B480" s="17" t="s">
        <v>14</v>
      </c>
      <c r="C480" s="17" t="s">
        <v>116</v>
      </c>
      <c r="D480" s="17" t="s">
        <v>117</v>
      </c>
      <c r="E480" s="17" t="s">
        <v>118</v>
      </c>
      <c r="F480" s="17" t="str">
        <f t="array" ref="F480">IFERROR(INDEX(PL4_TONG_HOP!$O$2:$O$5000,MATCH($C480,PL4_TONG_HOP!$A$2:$A$5000,0)),"")</f>
        <v/>
      </c>
      <c r="G480" s="17">
        <f>COUNTIFS(FILE_UPLOADS!$B:$B,$A480,FILE_UPLOADS!$D:$D,$C480)</f>
        <v>0</v>
      </c>
      <c r="H480" s="17" t="str">
        <f t="shared" si="1"/>
        <v/>
      </c>
    </row>
    <row r="481" ht="15.75" customHeight="1">
      <c r="A481" s="17" t="s">
        <v>337</v>
      </c>
      <c r="B481" s="17" t="s">
        <v>14</v>
      </c>
      <c r="C481" s="17" t="s">
        <v>119</v>
      </c>
      <c r="D481" s="17" t="s">
        <v>120</v>
      </c>
      <c r="E481" s="17" t="s">
        <v>121</v>
      </c>
      <c r="F481" s="17" t="str">
        <f t="array" ref="F481">IFERROR(INDEX(PL4_TONG_HOP!$O$2:$O$5000,MATCH($C481,PL4_TONG_HOP!$A$2:$A$5000,0)),"")</f>
        <v/>
      </c>
      <c r="G481" s="17">
        <f>COUNTIFS(FILE_UPLOADS!$B:$B,$A481,FILE_UPLOADS!$D:$D,$C481)</f>
        <v>0</v>
      </c>
      <c r="H481" s="17" t="str">
        <f t="shared" si="1"/>
        <v/>
      </c>
    </row>
    <row r="482" ht="15.75" customHeight="1">
      <c r="A482" s="17" t="s">
        <v>337</v>
      </c>
      <c r="B482" s="17" t="s">
        <v>14</v>
      </c>
      <c r="C482" s="17" t="s">
        <v>122</v>
      </c>
      <c r="D482" s="17" t="s">
        <v>123</v>
      </c>
      <c r="E482" s="17" t="s">
        <v>124</v>
      </c>
      <c r="F482" s="17" t="str">
        <f t="array" ref="F482">IFERROR(INDEX(PL4_TONG_HOP!$O$2:$O$5000,MATCH($C482,PL4_TONG_HOP!$A$2:$A$5000,0)),"")</f>
        <v/>
      </c>
      <c r="G482" s="17">
        <f>COUNTIFS(FILE_UPLOADS!$B:$B,$A482,FILE_UPLOADS!$D:$D,$C482)</f>
        <v>0</v>
      </c>
      <c r="H482" s="17" t="str">
        <f t="shared" si="1"/>
        <v/>
      </c>
    </row>
    <row r="483" ht="15.75" customHeight="1">
      <c r="A483" s="17" t="s">
        <v>337</v>
      </c>
      <c r="B483" s="17" t="s">
        <v>14</v>
      </c>
      <c r="C483" s="17" t="s">
        <v>125</v>
      </c>
      <c r="D483" s="17" t="s">
        <v>126</v>
      </c>
      <c r="E483" s="17" t="s">
        <v>127</v>
      </c>
      <c r="F483" s="17" t="str">
        <f t="array" ref="F483">IFERROR(INDEX(PL4_TONG_HOP!$O$2:$O$5000,MATCH($C483,PL4_TONG_HOP!$A$2:$A$5000,0)),"")</f>
        <v/>
      </c>
      <c r="G483" s="17">
        <f>COUNTIFS(FILE_UPLOADS!$B:$B,$A483,FILE_UPLOADS!$D:$D,$C483)</f>
        <v>0</v>
      </c>
      <c r="H483" s="17" t="str">
        <f t="shared" si="1"/>
        <v/>
      </c>
    </row>
    <row r="484" ht="15.75" customHeight="1">
      <c r="A484" s="17" t="s">
        <v>337</v>
      </c>
      <c r="B484" s="17" t="s">
        <v>14</v>
      </c>
      <c r="C484" s="17" t="s">
        <v>128</v>
      </c>
      <c r="D484" s="17" t="s">
        <v>129</v>
      </c>
      <c r="E484" s="17" t="s">
        <v>130</v>
      </c>
      <c r="F484" s="17" t="str">
        <f t="array" ref="F484">IFERROR(INDEX(PL4_TONG_HOP!$O$2:$O$5000,MATCH($C484,PL4_TONG_HOP!$A$2:$A$5000,0)),"")</f>
        <v/>
      </c>
      <c r="G484" s="17">
        <f>COUNTIFS(FILE_UPLOADS!$B:$B,$A484,FILE_UPLOADS!$D:$D,$C484)</f>
        <v>0</v>
      </c>
      <c r="H484" s="17" t="str">
        <f t="shared" si="1"/>
        <v/>
      </c>
    </row>
    <row r="485" ht="15.75" customHeight="1">
      <c r="A485" s="17" t="s">
        <v>337</v>
      </c>
      <c r="B485" s="17" t="s">
        <v>14</v>
      </c>
      <c r="C485" s="17" t="s">
        <v>131</v>
      </c>
      <c r="D485" s="17" t="s">
        <v>132</v>
      </c>
      <c r="E485" s="17" t="s">
        <v>133</v>
      </c>
      <c r="F485" s="17" t="str">
        <f t="array" ref="F485">IFERROR(INDEX(PL4_TONG_HOP!$O$2:$O$5000,MATCH($C485,PL4_TONG_HOP!$A$2:$A$5000,0)),"")</f>
        <v/>
      </c>
      <c r="G485" s="17">
        <f>COUNTIFS(FILE_UPLOADS!$B:$B,$A485,FILE_UPLOADS!$D:$D,$C485)</f>
        <v>0</v>
      </c>
      <c r="H485" s="17" t="str">
        <f t="shared" si="1"/>
        <v/>
      </c>
    </row>
    <row r="486" ht="15.75" customHeight="1">
      <c r="A486" s="17" t="s">
        <v>337</v>
      </c>
      <c r="B486" s="17" t="s">
        <v>14</v>
      </c>
      <c r="C486" s="17" t="s">
        <v>134</v>
      </c>
      <c r="D486" s="17" t="s">
        <v>135</v>
      </c>
      <c r="E486" s="17" t="s">
        <v>136</v>
      </c>
      <c r="F486" s="17" t="str">
        <f t="array" ref="F486">IFERROR(INDEX(PL4_TONG_HOP!$O$2:$O$5000,MATCH($C486,PL4_TONG_HOP!$A$2:$A$5000,0)),"")</f>
        <v/>
      </c>
      <c r="G486" s="17">
        <f>COUNTIFS(FILE_UPLOADS!$B:$B,$A486,FILE_UPLOADS!$D:$D,$C486)</f>
        <v>0</v>
      </c>
      <c r="H486" s="17" t="str">
        <f t="shared" si="1"/>
        <v/>
      </c>
    </row>
    <row r="487" ht="15.75" customHeight="1">
      <c r="A487" s="17" t="s">
        <v>337</v>
      </c>
      <c r="B487" s="17" t="s">
        <v>14</v>
      </c>
      <c r="C487" s="17" t="s">
        <v>140</v>
      </c>
      <c r="D487" s="17" t="s">
        <v>141</v>
      </c>
      <c r="E487" s="17" t="s">
        <v>142</v>
      </c>
      <c r="F487" s="17" t="str">
        <f t="array" ref="F487">IFERROR(INDEX(PL4_TONG_HOP!$O$2:$O$5000,MATCH($C487,PL4_TONG_HOP!$A$2:$A$5000,0)),"")</f>
        <v/>
      </c>
      <c r="G487" s="17">
        <f>COUNTIFS(FILE_UPLOADS!$B:$B,$A487,FILE_UPLOADS!$D:$D,$C487)</f>
        <v>0</v>
      </c>
      <c r="H487" s="17" t="str">
        <f t="shared" si="1"/>
        <v/>
      </c>
    </row>
    <row r="488" ht="15.75" customHeight="1">
      <c r="A488" s="17" t="s">
        <v>337</v>
      </c>
      <c r="B488" s="17" t="s">
        <v>14</v>
      </c>
      <c r="C488" s="17" t="s">
        <v>143</v>
      </c>
      <c r="D488" s="17" t="s">
        <v>144</v>
      </c>
      <c r="E488" s="17" t="s">
        <v>145</v>
      </c>
      <c r="F488" s="17" t="str">
        <f t="array" ref="F488">IFERROR(INDEX(PL4_TONG_HOP!$O$2:$O$5000,MATCH($C488,PL4_TONG_HOP!$A$2:$A$5000,0)),"")</f>
        <v/>
      </c>
      <c r="G488" s="17">
        <f>COUNTIFS(FILE_UPLOADS!$B:$B,$A488,FILE_UPLOADS!$D:$D,$C488)</f>
        <v>0</v>
      </c>
      <c r="H488" s="17" t="str">
        <f t="shared" si="1"/>
        <v/>
      </c>
    </row>
    <row r="489" ht="15.75" customHeight="1">
      <c r="A489" s="17" t="s">
        <v>337</v>
      </c>
      <c r="B489" s="17" t="s">
        <v>14</v>
      </c>
      <c r="C489" s="17" t="s">
        <v>149</v>
      </c>
      <c r="D489" s="17" t="s">
        <v>150</v>
      </c>
      <c r="E489" s="17" t="s">
        <v>151</v>
      </c>
      <c r="F489" s="17" t="str">
        <f t="array" ref="F489">IFERROR(INDEX(PL4_TONG_HOP!$O$2:$O$5000,MATCH($C489,PL4_TONG_HOP!$A$2:$A$5000,0)),"")</f>
        <v/>
      </c>
      <c r="G489" s="17">
        <f>COUNTIFS(FILE_UPLOADS!$B:$B,$A489,FILE_UPLOADS!$D:$D,$C489)</f>
        <v>0</v>
      </c>
      <c r="H489" s="17" t="str">
        <f t="shared" si="1"/>
        <v/>
      </c>
    </row>
    <row r="490" ht="15.75" customHeight="1">
      <c r="A490" s="17" t="s">
        <v>337</v>
      </c>
      <c r="B490" s="17" t="s">
        <v>14</v>
      </c>
      <c r="C490" s="17" t="s">
        <v>152</v>
      </c>
      <c r="D490" s="17" t="s">
        <v>153</v>
      </c>
      <c r="E490" s="17" t="s">
        <v>154</v>
      </c>
      <c r="F490" s="17" t="str">
        <f t="array" ref="F490">IFERROR(INDEX(PL4_TONG_HOP!$O$2:$O$5000,MATCH($C490,PL4_TONG_HOP!$A$2:$A$5000,0)),"")</f>
        <v/>
      </c>
      <c r="G490" s="17">
        <f>COUNTIFS(FILE_UPLOADS!$B:$B,$A490,FILE_UPLOADS!$D:$D,$C490)</f>
        <v>0</v>
      </c>
      <c r="H490" s="17" t="str">
        <f t="shared" si="1"/>
        <v/>
      </c>
    </row>
    <row r="491" ht="15.75" customHeight="1">
      <c r="A491" s="17" t="s">
        <v>337</v>
      </c>
      <c r="B491" s="17" t="s">
        <v>14</v>
      </c>
      <c r="C491" s="17" t="s">
        <v>155</v>
      </c>
      <c r="D491" s="17" t="s">
        <v>156</v>
      </c>
      <c r="E491" s="17" t="s">
        <v>157</v>
      </c>
      <c r="F491" s="17" t="str">
        <f t="array" ref="F491">IFERROR(INDEX(PL4_TONG_HOP!$O$2:$O$5000,MATCH($C491,PL4_TONG_HOP!$A$2:$A$5000,0)),"")</f>
        <v/>
      </c>
      <c r="G491" s="17">
        <f>COUNTIFS(FILE_UPLOADS!$B:$B,$A491,FILE_UPLOADS!$D:$D,$C491)</f>
        <v>0</v>
      </c>
      <c r="H491" s="17" t="str">
        <f t="shared" si="1"/>
        <v/>
      </c>
    </row>
    <row r="492" ht="15.75" customHeight="1">
      <c r="A492" s="17" t="s">
        <v>337</v>
      </c>
      <c r="B492" s="17" t="s">
        <v>14</v>
      </c>
      <c r="C492" s="17" t="s">
        <v>161</v>
      </c>
      <c r="D492" s="17" t="s">
        <v>162</v>
      </c>
      <c r="E492" s="17" t="s">
        <v>163</v>
      </c>
      <c r="F492" s="17" t="str">
        <f t="array" ref="F492">IFERROR(INDEX(PL4_TONG_HOP!$O$2:$O$5000,MATCH($C492,PL4_TONG_HOP!$A$2:$A$5000,0)),"")</f>
        <v/>
      </c>
      <c r="G492" s="17">
        <f>COUNTIFS(FILE_UPLOADS!$B:$B,$A492,FILE_UPLOADS!$D:$D,$C492)</f>
        <v>0</v>
      </c>
      <c r="H492" s="17" t="str">
        <f t="shared" si="1"/>
        <v/>
      </c>
    </row>
    <row r="493" ht="15.75" customHeight="1">
      <c r="A493" s="17" t="s">
        <v>337</v>
      </c>
      <c r="B493" s="17" t="s">
        <v>14</v>
      </c>
      <c r="C493" s="17" t="s">
        <v>164</v>
      </c>
      <c r="D493" s="17" t="s">
        <v>165</v>
      </c>
      <c r="E493" s="17" t="s">
        <v>166</v>
      </c>
      <c r="F493" s="17" t="str">
        <f t="array" ref="F493">IFERROR(INDEX(PL4_TONG_HOP!$O$2:$O$5000,MATCH($C493,PL4_TONG_HOP!$A$2:$A$5000,0)),"")</f>
        <v/>
      </c>
      <c r="G493" s="17">
        <f>COUNTIFS(FILE_UPLOADS!$B:$B,$A493,FILE_UPLOADS!$D:$D,$C493)</f>
        <v>0</v>
      </c>
      <c r="H493" s="17" t="str">
        <f t="shared" si="1"/>
        <v/>
      </c>
    </row>
    <row r="494" ht="15.75" customHeight="1">
      <c r="A494" s="17" t="s">
        <v>337</v>
      </c>
      <c r="B494" s="17" t="s">
        <v>14</v>
      </c>
      <c r="C494" s="17" t="s">
        <v>167</v>
      </c>
      <c r="D494" s="17" t="s">
        <v>168</v>
      </c>
      <c r="E494" s="17" t="s">
        <v>169</v>
      </c>
      <c r="F494" s="17" t="str">
        <f t="array" ref="F494">IFERROR(INDEX(PL4_TONG_HOP!$O$2:$O$5000,MATCH($C494,PL4_TONG_HOP!$A$2:$A$5000,0)),"")</f>
        <v/>
      </c>
      <c r="G494" s="17">
        <f>COUNTIFS(FILE_UPLOADS!$B:$B,$A494,FILE_UPLOADS!$D:$D,$C494)</f>
        <v>0</v>
      </c>
      <c r="H494" s="17" t="str">
        <f t="shared" si="1"/>
        <v/>
      </c>
    </row>
    <row r="495" ht="15.75" customHeight="1">
      <c r="A495" s="17" t="s">
        <v>337</v>
      </c>
      <c r="B495" s="17" t="s">
        <v>14</v>
      </c>
      <c r="C495" s="17" t="s">
        <v>173</v>
      </c>
      <c r="D495" s="17" t="s">
        <v>174</v>
      </c>
      <c r="E495" s="17" t="s">
        <v>175</v>
      </c>
      <c r="F495" s="17" t="str">
        <f t="array" ref="F495">IFERROR(INDEX(PL4_TONG_HOP!$O$2:$O$5000,MATCH($C495,PL4_TONG_HOP!$A$2:$A$5000,0)),"")</f>
        <v/>
      </c>
      <c r="G495" s="17">
        <f>COUNTIFS(FILE_UPLOADS!$B:$B,$A495,FILE_UPLOADS!$D:$D,$C495)</f>
        <v>0</v>
      </c>
      <c r="H495" s="17" t="str">
        <f t="shared" si="1"/>
        <v/>
      </c>
    </row>
    <row r="496" ht="15.75" customHeight="1">
      <c r="A496" s="17" t="s">
        <v>337</v>
      </c>
      <c r="B496" s="17" t="s">
        <v>14</v>
      </c>
      <c r="C496" s="17" t="s">
        <v>176</v>
      </c>
      <c r="D496" s="17" t="s">
        <v>177</v>
      </c>
      <c r="E496" s="17" t="s">
        <v>178</v>
      </c>
      <c r="F496" s="17" t="str">
        <f t="array" ref="F496">IFERROR(INDEX(PL4_TONG_HOP!$O$2:$O$5000,MATCH($C496,PL4_TONG_HOP!$A$2:$A$5000,0)),"")</f>
        <v/>
      </c>
      <c r="G496" s="17">
        <f>COUNTIFS(FILE_UPLOADS!$B:$B,$A496,FILE_UPLOADS!$D:$D,$C496)</f>
        <v>0</v>
      </c>
      <c r="H496" s="17" t="str">
        <f t="shared" si="1"/>
        <v/>
      </c>
    </row>
    <row r="497" ht="15.75" customHeight="1">
      <c r="A497" s="17" t="s">
        <v>337</v>
      </c>
      <c r="B497" s="17" t="s">
        <v>14</v>
      </c>
      <c r="C497" s="17" t="s">
        <v>212</v>
      </c>
      <c r="D497" s="17" t="s">
        <v>213</v>
      </c>
      <c r="E497" s="17" t="s">
        <v>214</v>
      </c>
      <c r="F497" s="17" t="str">
        <f t="array" ref="F497">IFERROR(INDEX(PL4_TONG_HOP!$O$2:$O$5000,MATCH($C497,PL4_TONG_HOP!$A$2:$A$5000,0)),"")</f>
        <v/>
      </c>
      <c r="G497" s="17">
        <f>COUNTIFS(FILE_UPLOADS!$B:$B,$A497,FILE_UPLOADS!$D:$D,$C497)</f>
        <v>0</v>
      </c>
      <c r="H497" s="17" t="str">
        <f t="shared" si="1"/>
        <v/>
      </c>
    </row>
    <row r="498" ht="15.75" customHeight="1">
      <c r="A498" s="17" t="s">
        <v>337</v>
      </c>
      <c r="B498" s="17" t="s">
        <v>14</v>
      </c>
      <c r="C498" s="17" t="s">
        <v>215</v>
      </c>
      <c r="D498" s="17" t="s">
        <v>216</v>
      </c>
      <c r="E498" s="17" t="s">
        <v>217</v>
      </c>
      <c r="F498" s="17" t="str">
        <f t="array" ref="F498">IFERROR(INDEX(PL4_TONG_HOP!$O$2:$O$5000,MATCH($C498,PL4_TONG_HOP!$A$2:$A$5000,0)),"")</f>
        <v/>
      </c>
      <c r="G498" s="17">
        <f>COUNTIFS(FILE_UPLOADS!$B:$B,$A498,FILE_UPLOADS!$D:$D,$C498)</f>
        <v>0</v>
      </c>
      <c r="H498" s="17" t="str">
        <f t="shared" si="1"/>
        <v/>
      </c>
    </row>
    <row r="499" ht="15.75" customHeight="1">
      <c r="A499" s="17" t="s">
        <v>337</v>
      </c>
      <c r="B499" s="17" t="s">
        <v>14</v>
      </c>
      <c r="C499" s="17" t="s">
        <v>227</v>
      </c>
      <c r="D499" s="17" t="s">
        <v>228</v>
      </c>
      <c r="E499" s="17" t="s">
        <v>229</v>
      </c>
      <c r="F499" s="17" t="str">
        <f t="array" ref="F499">IFERROR(INDEX(PL4_TONG_HOP!$O$2:$O$5000,MATCH($C499,PL4_TONG_HOP!$A$2:$A$5000,0)),"")</f>
        <v/>
      </c>
      <c r="G499" s="17">
        <f>COUNTIFS(FILE_UPLOADS!$B:$B,$A499,FILE_UPLOADS!$D:$D,$C499)</f>
        <v>0</v>
      </c>
      <c r="H499" s="17" t="str">
        <f t="shared" si="1"/>
        <v/>
      </c>
    </row>
    <row r="500" ht="15.75" customHeight="1">
      <c r="A500" s="17" t="s">
        <v>337</v>
      </c>
      <c r="B500" s="17" t="s">
        <v>14</v>
      </c>
      <c r="C500" s="17" t="s">
        <v>230</v>
      </c>
      <c r="D500" s="17" t="s">
        <v>231</v>
      </c>
      <c r="E500" s="17" t="s">
        <v>232</v>
      </c>
      <c r="F500" s="17" t="str">
        <f t="array" ref="F500">IFERROR(INDEX(PL4_TONG_HOP!$O$2:$O$5000,MATCH($C500,PL4_TONG_HOP!$A$2:$A$5000,0)),"")</f>
        <v/>
      </c>
      <c r="G500" s="17">
        <f>COUNTIFS(FILE_UPLOADS!$B:$B,$A500,FILE_UPLOADS!$D:$D,$C500)</f>
        <v>0</v>
      </c>
      <c r="H500" s="17" t="str">
        <f t="shared" si="1"/>
        <v/>
      </c>
    </row>
    <row r="501" ht="15.75" customHeight="1">
      <c r="A501" s="17" t="s">
        <v>337</v>
      </c>
      <c r="B501" s="17" t="s">
        <v>14</v>
      </c>
      <c r="C501" s="17" t="s">
        <v>236</v>
      </c>
      <c r="D501" s="17" t="s">
        <v>237</v>
      </c>
      <c r="E501" s="17" t="s">
        <v>238</v>
      </c>
      <c r="F501" s="17" t="str">
        <f t="array" ref="F501">IFERROR(INDEX(PL4_TONG_HOP!$O$2:$O$5000,MATCH($C501,PL4_TONG_HOP!$A$2:$A$5000,0)),"")</f>
        <v/>
      </c>
      <c r="G501" s="17">
        <f>COUNTIFS(FILE_UPLOADS!$B:$B,$A501,FILE_UPLOADS!$D:$D,$C501)</f>
        <v>0</v>
      </c>
      <c r="H501" s="17" t="str">
        <f t="shared" si="1"/>
        <v/>
      </c>
    </row>
    <row r="502" ht="15.75" customHeight="1">
      <c r="A502" s="17" t="s">
        <v>337</v>
      </c>
      <c r="B502" s="17" t="s">
        <v>14</v>
      </c>
      <c r="C502" s="17" t="s">
        <v>239</v>
      </c>
      <c r="D502" s="17" t="s">
        <v>240</v>
      </c>
      <c r="E502" s="17" t="s">
        <v>241</v>
      </c>
      <c r="F502" s="17" t="str">
        <f t="array" ref="F502">IFERROR(INDEX(PL4_TONG_HOP!$O$2:$O$5000,MATCH($C502,PL4_TONG_HOP!$A$2:$A$5000,0)),"")</f>
        <v/>
      </c>
      <c r="G502" s="17">
        <f>COUNTIFS(FILE_UPLOADS!$B:$B,$A502,FILE_UPLOADS!$D:$D,$C502)</f>
        <v>0</v>
      </c>
      <c r="H502" s="17" t="str">
        <f t="shared" si="1"/>
        <v/>
      </c>
    </row>
    <row r="503" ht="15.75" customHeight="1">
      <c r="A503" s="17" t="s">
        <v>337</v>
      </c>
      <c r="B503" s="17" t="s">
        <v>14</v>
      </c>
      <c r="C503" s="17" t="s">
        <v>242</v>
      </c>
      <c r="D503" s="17" t="s">
        <v>243</v>
      </c>
      <c r="E503" s="17" t="s">
        <v>244</v>
      </c>
      <c r="F503" s="17" t="str">
        <f t="array" ref="F503">IFERROR(INDEX(PL4_TONG_HOP!$O$2:$O$5000,MATCH($C503,PL4_TONG_HOP!$A$2:$A$5000,0)),"")</f>
        <v/>
      </c>
      <c r="G503" s="17">
        <f>COUNTIFS(FILE_UPLOADS!$B:$B,$A503,FILE_UPLOADS!$D:$D,$C503)</f>
        <v>0</v>
      </c>
      <c r="H503" s="17" t="str">
        <f t="shared" si="1"/>
        <v/>
      </c>
    </row>
    <row r="504" ht="15.75" customHeight="1">
      <c r="A504" s="17" t="s">
        <v>337</v>
      </c>
      <c r="B504" s="17" t="s">
        <v>14</v>
      </c>
      <c r="C504" s="17" t="s">
        <v>248</v>
      </c>
      <c r="D504" s="17" t="s">
        <v>249</v>
      </c>
      <c r="E504" s="17" t="s">
        <v>250</v>
      </c>
      <c r="F504" s="17" t="str">
        <f t="array" ref="F504">IFERROR(INDEX(PL4_TONG_HOP!$O$2:$O$5000,MATCH($C504,PL4_TONG_HOP!$A$2:$A$5000,0)),"")</f>
        <v/>
      </c>
      <c r="G504" s="17">
        <f>COUNTIFS(FILE_UPLOADS!$B:$B,$A504,FILE_UPLOADS!$D:$D,$C504)</f>
        <v>0</v>
      </c>
      <c r="H504" s="17" t="str">
        <f t="shared" si="1"/>
        <v/>
      </c>
    </row>
    <row r="505" ht="15.75" customHeight="1">
      <c r="A505" s="17" t="s">
        <v>337</v>
      </c>
      <c r="B505" s="17" t="s">
        <v>14</v>
      </c>
      <c r="C505" s="17" t="s">
        <v>251</v>
      </c>
      <c r="D505" s="17" t="s">
        <v>252</v>
      </c>
      <c r="E505" s="17" t="s">
        <v>253</v>
      </c>
      <c r="F505" s="17" t="str">
        <f t="array" ref="F505">IFERROR(INDEX(PL4_TONG_HOP!$O$2:$O$5000,MATCH($C505,PL4_TONG_HOP!$A$2:$A$5000,0)),"")</f>
        <v/>
      </c>
      <c r="G505" s="17">
        <f>COUNTIFS(FILE_UPLOADS!$B:$B,$A505,FILE_UPLOADS!$D:$D,$C505)</f>
        <v>0</v>
      </c>
      <c r="H505" s="17" t="str">
        <f t="shared" si="1"/>
        <v/>
      </c>
    </row>
    <row r="506" ht="15.75" customHeight="1">
      <c r="A506" s="17" t="s">
        <v>337</v>
      </c>
      <c r="B506" s="17" t="s">
        <v>14</v>
      </c>
      <c r="C506" s="17" t="s">
        <v>254</v>
      </c>
      <c r="D506" s="17" t="s">
        <v>255</v>
      </c>
      <c r="E506" s="17" t="s">
        <v>256</v>
      </c>
      <c r="F506" s="17" t="str">
        <f t="array" ref="F506">IFERROR(INDEX(PL4_TONG_HOP!$O$2:$O$5000,MATCH($C506,PL4_TONG_HOP!$A$2:$A$5000,0)),"")</f>
        <v/>
      </c>
      <c r="G506" s="17">
        <f>COUNTIFS(FILE_UPLOADS!$B:$B,$A506,FILE_UPLOADS!$D:$D,$C506)</f>
        <v>0</v>
      </c>
      <c r="H506" s="17" t="str">
        <f t="shared" si="1"/>
        <v/>
      </c>
    </row>
    <row r="507" ht="15.75" customHeight="1">
      <c r="A507" s="17" t="s">
        <v>337</v>
      </c>
      <c r="B507" s="17" t="s">
        <v>14</v>
      </c>
      <c r="C507" s="17" t="s">
        <v>260</v>
      </c>
      <c r="D507" s="17" t="s">
        <v>261</v>
      </c>
      <c r="E507" s="17" t="s">
        <v>262</v>
      </c>
      <c r="F507" s="17" t="str">
        <f t="array" ref="F507">IFERROR(INDEX(PL4_TONG_HOP!$O$2:$O$5000,MATCH($C507,PL4_TONG_HOP!$A$2:$A$5000,0)),"")</f>
        <v/>
      </c>
      <c r="G507" s="17">
        <f>COUNTIFS(FILE_UPLOADS!$B:$B,$A507,FILE_UPLOADS!$D:$D,$C507)</f>
        <v>0</v>
      </c>
      <c r="H507" s="17" t="str">
        <f t="shared" si="1"/>
        <v/>
      </c>
    </row>
    <row r="508" ht="15.75" customHeight="1">
      <c r="A508" s="17" t="s">
        <v>337</v>
      </c>
      <c r="B508" s="17" t="s">
        <v>14</v>
      </c>
      <c r="C508" s="17" t="s">
        <v>263</v>
      </c>
      <c r="D508" s="17" t="s">
        <v>264</v>
      </c>
      <c r="E508" s="17" t="s">
        <v>265</v>
      </c>
      <c r="F508" s="17" t="str">
        <f t="array" ref="F508">IFERROR(INDEX(PL4_TONG_HOP!$O$2:$O$5000,MATCH($C508,PL4_TONG_HOP!$A$2:$A$5000,0)),"")</f>
        <v/>
      </c>
      <c r="G508" s="17">
        <f>COUNTIFS(FILE_UPLOADS!$B:$B,$A508,FILE_UPLOADS!$D:$D,$C508)</f>
        <v>0</v>
      </c>
      <c r="H508" s="17" t="str">
        <f t="shared" si="1"/>
        <v/>
      </c>
    </row>
    <row r="509" ht="15.75" customHeight="1">
      <c r="A509" s="17" t="s">
        <v>337</v>
      </c>
      <c r="B509" s="17" t="s">
        <v>14</v>
      </c>
      <c r="C509" s="17" t="s">
        <v>266</v>
      </c>
      <c r="D509" s="17" t="s">
        <v>267</v>
      </c>
      <c r="E509" s="17" t="s">
        <v>268</v>
      </c>
      <c r="F509" s="17" t="str">
        <f t="array" ref="F509">IFERROR(INDEX(PL4_TONG_HOP!$O$2:$O$5000,MATCH($C509,PL4_TONG_HOP!$A$2:$A$5000,0)),"")</f>
        <v/>
      </c>
      <c r="G509" s="17">
        <f>COUNTIFS(FILE_UPLOADS!$B:$B,$A509,FILE_UPLOADS!$D:$D,$C509)</f>
        <v>0</v>
      </c>
      <c r="H509" s="17" t="str">
        <f t="shared" si="1"/>
        <v/>
      </c>
    </row>
    <row r="510" ht="15.75" customHeight="1">
      <c r="A510" s="17" t="s">
        <v>337</v>
      </c>
      <c r="B510" s="17" t="s">
        <v>14</v>
      </c>
      <c r="C510" s="17" t="s">
        <v>269</v>
      </c>
      <c r="D510" s="17" t="s">
        <v>270</v>
      </c>
      <c r="E510" s="17" t="s">
        <v>271</v>
      </c>
      <c r="F510" s="17" t="str">
        <f t="array" ref="F510">IFERROR(INDEX(PL4_TONG_HOP!$O$2:$O$5000,MATCH($C510,PL4_TONG_HOP!$A$2:$A$5000,0)),"")</f>
        <v/>
      </c>
      <c r="G510" s="17">
        <f>COUNTIFS(FILE_UPLOADS!$B:$B,$A510,FILE_UPLOADS!$D:$D,$C510)</f>
        <v>0</v>
      </c>
      <c r="H510" s="17" t="str">
        <f t="shared" si="1"/>
        <v/>
      </c>
    </row>
    <row r="511" ht="15.75" customHeight="1">
      <c r="A511" s="17" t="s">
        <v>337</v>
      </c>
      <c r="B511" s="17" t="s">
        <v>14</v>
      </c>
      <c r="C511" s="17" t="s">
        <v>272</v>
      </c>
      <c r="D511" s="17" t="s">
        <v>273</v>
      </c>
      <c r="E511" s="17" t="s">
        <v>274</v>
      </c>
      <c r="F511" s="17" t="str">
        <f t="array" ref="F511">IFERROR(INDEX(PL4_TONG_HOP!$O$2:$O$5000,MATCH($C511,PL4_TONG_HOP!$A$2:$A$5000,0)),"")</f>
        <v/>
      </c>
      <c r="G511" s="17">
        <f>COUNTIFS(FILE_UPLOADS!$B:$B,$A511,FILE_UPLOADS!$D:$D,$C511)</f>
        <v>0</v>
      </c>
      <c r="H511" s="17" t="str">
        <f t="shared" si="1"/>
        <v/>
      </c>
    </row>
    <row r="512" ht="15.75" customHeight="1">
      <c r="A512" s="17" t="s">
        <v>337</v>
      </c>
      <c r="B512" s="17" t="s">
        <v>14</v>
      </c>
      <c r="C512" s="17" t="s">
        <v>275</v>
      </c>
      <c r="D512" s="17" t="s">
        <v>276</v>
      </c>
      <c r="E512" s="17" t="s">
        <v>277</v>
      </c>
      <c r="F512" s="17" t="str">
        <f t="array" ref="F512">IFERROR(INDEX(PL4_TONG_HOP!$O$2:$O$5000,MATCH($C512,PL4_TONG_HOP!$A$2:$A$5000,0)),"")</f>
        <v/>
      </c>
      <c r="G512" s="17">
        <f>COUNTIFS(FILE_UPLOADS!$B:$B,$A512,FILE_UPLOADS!$D:$D,$C512)</f>
        <v>0</v>
      </c>
      <c r="H512" s="17" t="str">
        <f t="shared" si="1"/>
        <v/>
      </c>
    </row>
    <row r="513" ht="15.75" customHeight="1">
      <c r="A513" s="17" t="s">
        <v>337</v>
      </c>
      <c r="B513" s="17" t="s">
        <v>14</v>
      </c>
      <c r="C513" s="17" t="s">
        <v>278</v>
      </c>
      <c r="D513" s="17" t="s">
        <v>279</v>
      </c>
      <c r="E513" s="17" t="s">
        <v>280</v>
      </c>
      <c r="F513" s="17" t="str">
        <f t="array" ref="F513">IFERROR(INDEX(PL4_TONG_HOP!$O$2:$O$5000,MATCH($C513,PL4_TONG_HOP!$A$2:$A$5000,0)),"")</f>
        <v/>
      </c>
      <c r="G513" s="17">
        <f>COUNTIFS(FILE_UPLOADS!$B:$B,$A513,FILE_UPLOADS!$D:$D,$C513)</f>
        <v>0</v>
      </c>
      <c r="H513" s="17" t="str">
        <f t="shared" si="1"/>
        <v/>
      </c>
    </row>
    <row r="514" ht="15.75" customHeight="1">
      <c r="A514" s="17" t="s">
        <v>337</v>
      </c>
      <c r="B514" s="17" t="s">
        <v>14</v>
      </c>
      <c r="C514" s="17" t="s">
        <v>281</v>
      </c>
      <c r="D514" s="17" t="s">
        <v>282</v>
      </c>
      <c r="E514" s="17" t="s">
        <v>283</v>
      </c>
      <c r="F514" s="17" t="str">
        <f t="array" ref="F514">IFERROR(INDEX(PL4_TONG_HOP!$O$2:$O$5000,MATCH($C514,PL4_TONG_HOP!$A$2:$A$5000,0)),"")</f>
        <v/>
      </c>
      <c r="G514" s="17">
        <f>COUNTIFS(FILE_UPLOADS!$B:$B,$A514,FILE_UPLOADS!$D:$D,$C514)</f>
        <v>0</v>
      </c>
      <c r="H514" s="17" t="str">
        <f t="shared" si="1"/>
        <v/>
      </c>
    </row>
    <row r="515" ht="15.75" customHeight="1">
      <c r="A515" s="17" t="s">
        <v>337</v>
      </c>
      <c r="B515" s="17" t="s">
        <v>14</v>
      </c>
      <c r="C515" s="17" t="s">
        <v>290</v>
      </c>
      <c r="D515" s="17" t="s">
        <v>291</v>
      </c>
      <c r="E515" s="17" t="s">
        <v>292</v>
      </c>
      <c r="F515" s="17" t="str">
        <f t="array" ref="F515">IFERROR(INDEX(PL4_TONG_HOP!$O$2:$O$5000,MATCH($C515,PL4_TONG_HOP!$A$2:$A$5000,0)),"")</f>
        <v/>
      </c>
      <c r="G515" s="17">
        <f>COUNTIFS(FILE_UPLOADS!$B:$B,$A515,FILE_UPLOADS!$D:$D,$C515)</f>
        <v>0</v>
      </c>
      <c r="H515" s="17" t="str">
        <f t="shared" si="1"/>
        <v/>
      </c>
    </row>
    <row r="516" ht="15.75" customHeight="1">
      <c r="A516" s="17" t="s">
        <v>337</v>
      </c>
      <c r="B516" s="17" t="s">
        <v>14</v>
      </c>
      <c r="C516" s="17" t="s">
        <v>293</v>
      </c>
      <c r="D516" s="17" t="s">
        <v>294</v>
      </c>
      <c r="E516" s="17" t="s">
        <v>295</v>
      </c>
      <c r="F516" s="17" t="str">
        <f t="array" ref="F516">IFERROR(INDEX(PL4_TONG_HOP!$O$2:$O$5000,MATCH($C516,PL4_TONG_HOP!$A$2:$A$5000,0)),"")</f>
        <v/>
      </c>
      <c r="G516" s="17">
        <f>COUNTIFS(FILE_UPLOADS!$B:$B,$A516,FILE_UPLOADS!$D:$D,$C516)</f>
        <v>0</v>
      </c>
      <c r="H516" s="17" t="str">
        <f t="shared" si="1"/>
        <v/>
      </c>
    </row>
    <row r="517" ht="15.75" customHeight="1">
      <c r="A517" s="17" t="s">
        <v>337</v>
      </c>
      <c r="B517" s="17" t="s">
        <v>14</v>
      </c>
      <c r="C517" s="17" t="s">
        <v>299</v>
      </c>
      <c r="D517" s="17" t="s">
        <v>300</v>
      </c>
      <c r="E517" s="17" t="s">
        <v>301</v>
      </c>
      <c r="F517" s="17" t="str">
        <f t="array" ref="F517">IFERROR(INDEX(PL4_TONG_HOP!$O$2:$O$5000,MATCH($C517,PL4_TONG_HOP!$A$2:$A$5000,0)),"")</f>
        <v/>
      </c>
      <c r="G517" s="17">
        <f>COUNTIFS(FILE_UPLOADS!$B:$B,$A517,FILE_UPLOADS!$D:$D,$C517)</f>
        <v>0</v>
      </c>
      <c r="H517" s="17" t="str">
        <f t="shared" si="1"/>
        <v/>
      </c>
    </row>
    <row r="518" ht="15.75" customHeight="1">
      <c r="A518" s="17" t="s">
        <v>337</v>
      </c>
      <c r="B518" s="17" t="s">
        <v>14</v>
      </c>
      <c r="C518" s="17" t="s">
        <v>302</v>
      </c>
      <c r="D518" s="17" t="s">
        <v>303</v>
      </c>
      <c r="E518" s="17" t="s">
        <v>304</v>
      </c>
      <c r="F518" s="17" t="str">
        <f t="array" ref="F518">IFERROR(INDEX(PL4_TONG_HOP!$O$2:$O$5000,MATCH($C518,PL4_TONG_HOP!$A$2:$A$5000,0)),"")</f>
        <v/>
      </c>
      <c r="G518" s="17">
        <f>COUNTIFS(FILE_UPLOADS!$B:$B,$A518,FILE_UPLOADS!$D:$D,$C518)</f>
        <v>0</v>
      </c>
      <c r="H518" s="17" t="str">
        <f t="shared" si="1"/>
        <v/>
      </c>
    </row>
    <row r="519" ht="15.75" customHeight="1">
      <c r="A519" s="17" t="s">
        <v>337</v>
      </c>
      <c r="B519" s="17" t="s">
        <v>14</v>
      </c>
      <c r="C519" s="17" t="s">
        <v>308</v>
      </c>
      <c r="D519" s="17" t="s">
        <v>309</v>
      </c>
      <c r="E519" s="17" t="s">
        <v>310</v>
      </c>
      <c r="F519" s="17" t="str">
        <f t="array" ref="F519">IFERROR(INDEX(PL4_TONG_HOP!$O$2:$O$5000,MATCH($C519,PL4_TONG_HOP!$A$2:$A$5000,0)),"")</f>
        <v/>
      </c>
      <c r="G519" s="17">
        <f>COUNTIFS(FILE_UPLOADS!$B:$B,$A519,FILE_UPLOADS!$D:$D,$C519)</f>
        <v>0</v>
      </c>
      <c r="H519" s="17" t="str">
        <f t="shared" si="1"/>
        <v/>
      </c>
    </row>
    <row r="520" ht="15.75" customHeight="1">
      <c r="A520" s="17" t="s">
        <v>337</v>
      </c>
      <c r="B520" s="17" t="s">
        <v>14</v>
      </c>
      <c r="C520" s="17" t="s">
        <v>311</v>
      </c>
      <c r="D520" s="17" t="s">
        <v>312</v>
      </c>
      <c r="E520" s="17" t="s">
        <v>313</v>
      </c>
      <c r="F520" s="17" t="str">
        <f t="array" ref="F520">IFERROR(INDEX(PL4_TONG_HOP!$O$2:$O$5000,MATCH($C520,PL4_TONG_HOP!$A$2:$A$5000,0)),"")</f>
        <v/>
      </c>
      <c r="G520" s="17">
        <f>COUNTIFS(FILE_UPLOADS!$B:$B,$A520,FILE_UPLOADS!$D:$D,$C520)</f>
        <v>0</v>
      </c>
      <c r="H520" s="17" t="str">
        <f t="shared" si="1"/>
        <v/>
      </c>
    </row>
    <row r="521" ht="15.75" customHeight="1">
      <c r="A521" s="17" t="s">
        <v>337</v>
      </c>
      <c r="B521" s="17" t="s">
        <v>14</v>
      </c>
      <c r="C521" s="17" t="s">
        <v>314</v>
      </c>
      <c r="D521" s="17" t="s">
        <v>315</v>
      </c>
      <c r="E521" s="17" t="s">
        <v>316</v>
      </c>
      <c r="F521" s="17" t="str">
        <f t="array" ref="F521">IFERROR(INDEX(PL4_TONG_HOP!$O$2:$O$5000,MATCH($C521,PL4_TONG_HOP!$A$2:$A$5000,0)),"")</f>
        <v/>
      </c>
      <c r="G521" s="17">
        <f>COUNTIFS(FILE_UPLOADS!$B:$B,$A521,FILE_UPLOADS!$D:$D,$C521)</f>
        <v>0</v>
      </c>
      <c r="H521" s="17" t="str">
        <f t="shared" si="1"/>
        <v/>
      </c>
    </row>
    <row r="522" ht="15.75" customHeight="1">
      <c r="A522" s="17" t="s">
        <v>338</v>
      </c>
      <c r="B522" s="17" t="s">
        <v>15</v>
      </c>
      <c r="C522" s="17" t="s">
        <v>46</v>
      </c>
      <c r="D522" s="17" t="s">
        <v>47</v>
      </c>
      <c r="E522" s="17" t="s">
        <v>48</v>
      </c>
      <c r="F522" s="17" t="str">
        <f t="array" ref="F522">IFERROR(INDEX(PL4_TONG_HOP!$P$2:$P$5000,MATCH($C522,PL4_TONG_HOP!$A$2:$A$5000,0)),"")</f>
        <v/>
      </c>
      <c r="G522" s="17">
        <f>COUNTIFS(FILE_UPLOADS!$B:$B,$A522,FILE_UPLOADS!$D:$D,$C522)</f>
        <v>0</v>
      </c>
      <c r="H522" s="17" t="str">
        <f t="shared" si="1"/>
        <v/>
      </c>
    </row>
    <row r="523" ht="15.75" customHeight="1">
      <c r="A523" s="17" t="s">
        <v>338</v>
      </c>
      <c r="B523" s="17" t="s">
        <v>15</v>
      </c>
      <c r="C523" s="17" t="s">
        <v>78</v>
      </c>
      <c r="D523" s="17" t="s">
        <v>79</v>
      </c>
      <c r="E523" s="17" t="s">
        <v>80</v>
      </c>
      <c r="F523" s="17" t="str">
        <f t="array" ref="F523">IFERROR(INDEX(PL4_TONG_HOP!$P$2:$P$5000,MATCH($C523,PL4_TONG_HOP!$A$2:$A$5000,0)),"")</f>
        <v/>
      </c>
      <c r="G523" s="17">
        <f>COUNTIFS(FILE_UPLOADS!$B:$B,$A523,FILE_UPLOADS!$D:$D,$C523)</f>
        <v>0</v>
      </c>
      <c r="H523" s="17" t="str">
        <f t="shared" si="1"/>
        <v/>
      </c>
    </row>
    <row r="524" ht="15.75" customHeight="1">
      <c r="A524" s="17" t="s">
        <v>338</v>
      </c>
      <c r="B524" s="17" t="s">
        <v>15</v>
      </c>
      <c r="C524" s="17" t="s">
        <v>81</v>
      </c>
      <c r="D524" s="17" t="s">
        <v>82</v>
      </c>
      <c r="E524" s="17" t="s">
        <v>83</v>
      </c>
      <c r="F524" s="17" t="str">
        <f t="array" ref="F524">IFERROR(INDEX(PL4_TONG_HOP!$P$2:$P$5000,MATCH($C524,PL4_TONG_HOP!$A$2:$A$5000,0)),"")</f>
        <v/>
      </c>
      <c r="G524" s="17">
        <f>COUNTIFS(FILE_UPLOADS!$B:$B,$A524,FILE_UPLOADS!$D:$D,$C524)</f>
        <v>0</v>
      </c>
      <c r="H524" s="17" t="str">
        <f t="shared" si="1"/>
        <v/>
      </c>
    </row>
    <row r="525" ht="15.75" customHeight="1">
      <c r="A525" s="17" t="s">
        <v>338</v>
      </c>
      <c r="B525" s="17" t="s">
        <v>15</v>
      </c>
      <c r="C525" s="17" t="s">
        <v>87</v>
      </c>
      <c r="D525" s="17" t="s">
        <v>88</v>
      </c>
      <c r="E525" s="17" t="s">
        <v>89</v>
      </c>
      <c r="F525" s="17" t="str">
        <f t="array" ref="F525">IFERROR(INDEX(PL4_TONG_HOP!$P$2:$P$5000,MATCH($C525,PL4_TONG_HOP!$A$2:$A$5000,0)),"")</f>
        <v/>
      </c>
      <c r="G525" s="17">
        <f>COUNTIFS(FILE_UPLOADS!$B:$B,$A525,FILE_UPLOADS!$D:$D,$C525)</f>
        <v>0</v>
      </c>
      <c r="H525" s="17" t="str">
        <f t="shared" si="1"/>
        <v/>
      </c>
    </row>
    <row r="526" ht="15.75" customHeight="1">
      <c r="A526" s="17" t="s">
        <v>338</v>
      </c>
      <c r="B526" s="17" t="s">
        <v>15</v>
      </c>
      <c r="C526" s="17" t="s">
        <v>90</v>
      </c>
      <c r="D526" s="17" t="s">
        <v>91</v>
      </c>
      <c r="E526" s="17" t="s">
        <v>92</v>
      </c>
      <c r="F526" s="17" t="str">
        <f t="array" ref="F526">IFERROR(INDEX(PL4_TONG_HOP!$P$2:$P$5000,MATCH($C526,PL4_TONG_HOP!$A$2:$A$5000,0)),"")</f>
        <v/>
      </c>
      <c r="G526" s="17">
        <f>COUNTIFS(FILE_UPLOADS!$B:$B,$A526,FILE_UPLOADS!$D:$D,$C526)</f>
        <v>0</v>
      </c>
      <c r="H526" s="17" t="str">
        <f t="shared" si="1"/>
        <v/>
      </c>
    </row>
    <row r="527" ht="15.75" customHeight="1">
      <c r="A527" s="17" t="s">
        <v>338</v>
      </c>
      <c r="B527" s="17" t="s">
        <v>15</v>
      </c>
      <c r="C527" s="17" t="s">
        <v>93</v>
      </c>
      <c r="D527" s="17" t="s">
        <v>85</v>
      </c>
      <c r="E527" s="17" t="s">
        <v>94</v>
      </c>
      <c r="F527" s="17" t="str">
        <f t="array" ref="F527">IFERROR(INDEX(PL4_TONG_HOP!$P$2:$P$5000,MATCH($C527,PL4_TONG_HOP!$A$2:$A$5000,0)),"")</f>
        <v/>
      </c>
      <c r="G527" s="17">
        <f>COUNTIFS(FILE_UPLOADS!$B:$B,$A527,FILE_UPLOADS!$D:$D,$C527)</f>
        <v>0</v>
      </c>
      <c r="H527" s="17" t="str">
        <f t="shared" si="1"/>
        <v/>
      </c>
    </row>
    <row r="528" ht="15.75" customHeight="1">
      <c r="A528" s="17" t="s">
        <v>338</v>
      </c>
      <c r="B528" s="17" t="s">
        <v>15</v>
      </c>
      <c r="C528" s="17" t="s">
        <v>95</v>
      </c>
      <c r="D528" s="17" t="s">
        <v>96</v>
      </c>
      <c r="E528" s="17" t="s">
        <v>97</v>
      </c>
      <c r="F528" s="17" t="str">
        <f t="array" ref="F528">IFERROR(INDEX(PL4_TONG_HOP!$P$2:$P$5000,MATCH($C528,PL4_TONG_HOP!$A$2:$A$5000,0)),"")</f>
        <v/>
      </c>
      <c r="G528" s="17">
        <f>COUNTIFS(FILE_UPLOADS!$B:$B,$A528,FILE_UPLOADS!$D:$D,$C528)</f>
        <v>0</v>
      </c>
      <c r="H528" s="17" t="str">
        <f t="shared" si="1"/>
        <v/>
      </c>
    </row>
    <row r="529" ht="15.75" customHeight="1">
      <c r="A529" s="17" t="s">
        <v>338</v>
      </c>
      <c r="B529" s="17" t="s">
        <v>15</v>
      </c>
      <c r="C529" s="17" t="s">
        <v>98</v>
      </c>
      <c r="D529" s="17" t="s">
        <v>99</v>
      </c>
      <c r="E529" s="17" t="s">
        <v>100</v>
      </c>
      <c r="F529" s="17" t="str">
        <f t="array" ref="F529">IFERROR(INDEX(PL4_TONG_HOP!$P$2:$P$5000,MATCH($C529,PL4_TONG_HOP!$A$2:$A$5000,0)),"")</f>
        <v/>
      </c>
      <c r="G529" s="17">
        <f>COUNTIFS(FILE_UPLOADS!$B:$B,$A529,FILE_UPLOADS!$D:$D,$C529)</f>
        <v>0</v>
      </c>
      <c r="H529" s="17" t="str">
        <f t="shared" si="1"/>
        <v/>
      </c>
    </row>
    <row r="530" ht="15.75" customHeight="1">
      <c r="A530" s="17" t="s">
        <v>338</v>
      </c>
      <c r="B530" s="17" t="s">
        <v>15</v>
      </c>
      <c r="C530" s="17" t="s">
        <v>101</v>
      </c>
      <c r="D530" s="17" t="s">
        <v>102</v>
      </c>
      <c r="E530" s="17" t="s">
        <v>103</v>
      </c>
      <c r="F530" s="17" t="str">
        <f t="array" ref="F530">IFERROR(INDEX(PL4_TONG_HOP!$P$2:$P$5000,MATCH($C530,PL4_TONG_HOP!$A$2:$A$5000,0)),"")</f>
        <v/>
      </c>
      <c r="G530" s="17">
        <f>COUNTIFS(FILE_UPLOADS!$B:$B,$A530,FILE_UPLOADS!$D:$D,$C530)</f>
        <v>0</v>
      </c>
      <c r="H530" s="17" t="str">
        <f t="shared" si="1"/>
        <v/>
      </c>
    </row>
    <row r="531" ht="15.75" customHeight="1">
      <c r="A531" s="17" t="s">
        <v>338</v>
      </c>
      <c r="B531" s="17" t="s">
        <v>15</v>
      </c>
      <c r="C531" s="17" t="s">
        <v>113</v>
      </c>
      <c r="D531" s="17" t="s">
        <v>114</v>
      </c>
      <c r="E531" s="17" t="s">
        <v>115</v>
      </c>
      <c r="F531" s="17" t="str">
        <f t="array" ref="F531">IFERROR(INDEX(PL4_TONG_HOP!$P$2:$P$5000,MATCH($C531,PL4_TONG_HOP!$A$2:$A$5000,0)),"")</f>
        <v/>
      </c>
      <c r="G531" s="17">
        <f>COUNTIFS(FILE_UPLOADS!$B:$B,$A531,FILE_UPLOADS!$D:$D,$C531)</f>
        <v>0</v>
      </c>
      <c r="H531" s="17" t="str">
        <f t="shared" si="1"/>
        <v/>
      </c>
    </row>
    <row r="532" ht="15.75" customHeight="1">
      <c r="A532" s="17" t="s">
        <v>338</v>
      </c>
      <c r="B532" s="17" t="s">
        <v>15</v>
      </c>
      <c r="C532" s="17" t="s">
        <v>116</v>
      </c>
      <c r="D532" s="17" t="s">
        <v>117</v>
      </c>
      <c r="E532" s="17" t="s">
        <v>118</v>
      </c>
      <c r="F532" s="17" t="str">
        <f t="array" ref="F532">IFERROR(INDEX(PL4_TONG_HOP!$P$2:$P$5000,MATCH($C532,PL4_TONG_HOP!$A$2:$A$5000,0)),"")</f>
        <v/>
      </c>
      <c r="G532" s="17">
        <f>COUNTIFS(FILE_UPLOADS!$B:$B,$A532,FILE_UPLOADS!$D:$D,$C532)</f>
        <v>0</v>
      </c>
      <c r="H532" s="17" t="str">
        <f t="shared" si="1"/>
        <v/>
      </c>
    </row>
    <row r="533" ht="15.75" customHeight="1">
      <c r="A533" s="17" t="s">
        <v>338</v>
      </c>
      <c r="B533" s="17" t="s">
        <v>15</v>
      </c>
      <c r="C533" s="17" t="s">
        <v>119</v>
      </c>
      <c r="D533" s="17" t="s">
        <v>120</v>
      </c>
      <c r="E533" s="17" t="s">
        <v>121</v>
      </c>
      <c r="F533" s="17" t="str">
        <f t="array" ref="F533">IFERROR(INDEX(PL4_TONG_HOP!$P$2:$P$5000,MATCH($C533,PL4_TONG_HOP!$A$2:$A$5000,0)),"")</f>
        <v/>
      </c>
      <c r="G533" s="17">
        <f>COUNTIFS(FILE_UPLOADS!$B:$B,$A533,FILE_UPLOADS!$D:$D,$C533)</f>
        <v>0</v>
      </c>
      <c r="H533" s="17" t="str">
        <f t="shared" si="1"/>
        <v/>
      </c>
    </row>
    <row r="534" ht="15.75" customHeight="1">
      <c r="A534" s="17" t="s">
        <v>338</v>
      </c>
      <c r="B534" s="17" t="s">
        <v>15</v>
      </c>
      <c r="C534" s="17" t="s">
        <v>122</v>
      </c>
      <c r="D534" s="17" t="s">
        <v>123</v>
      </c>
      <c r="E534" s="17" t="s">
        <v>124</v>
      </c>
      <c r="F534" s="17" t="str">
        <f t="array" ref="F534">IFERROR(INDEX(PL4_TONG_HOP!$P$2:$P$5000,MATCH($C534,PL4_TONG_HOP!$A$2:$A$5000,0)),"")</f>
        <v/>
      </c>
      <c r="G534" s="17">
        <f>COUNTIFS(FILE_UPLOADS!$B:$B,$A534,FILE_UPLOADS!$D:$D,$C534)</f>
        <v>0</v>
      </c>
      <c r="H534" s="17" t="str">
        <f t="shared" si="1"/>
        <v/>
      </c>
    </row>
    <row r="535" ht="15.75" customHeight="1">
      <c r="A535" s="17" t="s">
        <v>338</v>
      </c>
      <c r="B535" s="17" t="s">
        <v>15</v>
      </c>
      <c r="C535" s="17" t="s">
        <v>125</v>
      </c>
      <c r="D535" s="17" t="s">
        <v>126</v>
      </c>
      <c r="E535" s="17" t="s">
        <v>127</v>
      </c>
      <c r="F535" s="17" t="str">
        <f t="array" ref="F535">IFERROR(INDEX(PL4_TONG_HOP!$P$2:$P$5000,MATCH($C535,PL4_TONG_HOP!$A$2:$A$5000,0)),"")</f>
        <v/>
      </c>
      <c r="G535" s="17">
        <f>COUNTIFS(FILE_UPLOADS!$B:$B,$A535,FILE_UPLOADS!$D:$D,$C535)</f>
        <v>0</v>
      </c>
      <c r="H535" s="17" t="str">
        <f t="shared" si="1"/>
        <v/>
      </c>
    </row>
    <row r="536" ht="15.75" customHeight="1">
      <c r="A536" s="17" t="s">
        <v>338</v>
      </c>
      <c r="B536" s="17" t="s">
        <v>15</v>
      </c>
      <c r="C536" s="17" t="s">
        <v>128</v>
      </c>
      <c r="D536" s="17" t="s">
        <v>129</v>
      </c>
      <c r="E536" s="17" t="s">
        <v>130</v>
      </c>
      <c r="F536" s="17" t="str">
        <f t="array" ref="F536">IFERROR(INDEX(PL4_TONG_HOP!$P$2:$P$5000,MATCH($C536,PL4_TONG_HOP!$A$2:$A$5000,0)),"")</f>
        <v/>
      </c>
      <c r="G536" s="17">
        <f>COUNTIFS(FILE_UPLOADS!$B:$B,$A536,FILE_UPLOADS!$D:$D,$C536)</f>
        <v>0</v>
      </c>
      <c r="H536" s="17" t="str">
        <f t="shared" si="1"/>
        <v/>
      </c>
    </row>
    <row r="537" ht="15.75" customHeight="1">
      <c r="A537" s="17" t="s">
        <v>338</v>
      </c>
      <c r="B537" s="17" t="s">
        <v>15</v>
      </c>
      <c r="C537" s="17" t="s">
        <v>131</v>
      </c>
      <c r="D537" s="17" t="s">
        <v>132</v>
      </c>
      <c r="E537" s="17" t="s">
        <v>133</v>
      </c>
      <c r="F537" s="17" t="str">
        <f t="array" ref="F537">IFERROR(INDEX(PL4_TONG_HOP!$P$2:$P$5000,MATCH($C537,PL4_TONG_HOP!$A$2:$A$5000,0)),"")</f>
        <v/>
      </c>
      <c r="G537" s="17">
        <f>COUNTIFS(FILE_UPLOADS!$B:$B,$A537,FILE_UPLOADS!$D:$D,$C537)</f>
        <v>0</v>
      </c>
      <c r="H537" s="17" t="str">
        <f t="shared" si="1"/>
        <v/>
      </c>
    </row>
    <row r="538" ht="15.75" customHeight="1">
      <c r="A538" s="17" t="s">
        <v>338</v>
      </c>
      <c r="B538" s="17" t="s">
        <v>15</v>
      </c>
      <c r="C538" s="17" t="s">
        <v>134</v>
      </c>
      <c r="D538" s="17" t="s">
        <v>135</v>
      </c>
      <c r="E538" s="17" t="s">
        <v>136</v>
      </c>
      <c r="F538" s="17" t="str">
        <f t="array" ref="F538">IFERROR(INDEX(PL4_TONG_HOP!$P$2:$P$5000,MATCH($C538,PL4_TONG_HOP!$A$2:$A$5000,0)),"")</f>
        <v/>
      </c>
      <c r="G538" s="17">
        <f>COUNTIFS(FILE_UPLOADS!$B:$B,$A538,FILE_UPLOADS!$D:$D,$C538)</f>
        <v>0</v>
      </c>
      <c r="H538" s="17" t="str">
        <f t="shared" si="1"/>
        <v/>
      </c>
    </row>
    <row r="539" ht="15.75" customHeight="1">
      <c r="A539" s="17" t="s">
        <v>338</v>
      </c>
      <c r="B539" s="17" t="s">
        <v>15</v>
      </c>
      <c r="C539" s="17" t="s">
        <v>140</v>
      </c>
      <c r="D539" s="17" t="s">
        <v>141</v>
      </c>
      <c r="E539" s="17" t="s">
        <v>142</v>
      </c>
      <c r="F539" s="17" t="str">
        <f t="array" ref="F539">IFERROR(INDEX(PL4_TONG_HOP!$P$2:$P$5000,MATCH($C539,PL4_TONG_HOP!$A$2:$A$5000,0)),"")</f>
        <v/>
      </c>
      <c r="G539" s="17">
        <f>COUNTIFS(FILE_UPLOADS!$B:$B,$A539,FILE_UPLOADS!$D:$D,$C539)</f>
        <v>0</v>
      </c>
      <c r="H539" s="17" t="str">
        <f t="shared" si="1"/>
        <v/>
      </c>
    </row>
    <row r="540" ht="15.75" customHeight="1">
      <c r="A540" s="17" t="s">
        <v>338</v>
      </c>
      <c r="B540" s="17" t="s">
        <v>15</v>
      </c>
      <c r="C540" s="17" t="s">
        <v>143</v>
      </c>
      <c r="D540" s="17" t="s">
        <v>144</v>
      </c>
      <c r="E540" s="17" t="s">
        <v>145</v>
      </c>
      <c r="F540" s="17" t="str">
        <f t="array" ref="F540">IFERROR(INDEX(PL4_TONG_HOP!$P$2:$P$5000,MATCH($C540,PL4_TONG_HOP!$A$2:$A$5000,0)),"")</f>
        <v/>
      </c>
      <c r="G540" s="17">
        <f>COUNTIFS(FILE_UPLOADS!$B:$B,$A540,FILE_UPLOADS!$D:$D,$C540)</f>
        <v>0</v>
      </c>
      <c r="H540" s="17" t="str">
        <f t="shared" si="1"/>
        <v/>
      </c>
    </row>
    <row r="541" ht="15.75" customHeight="1">
      <c r="A541" s="17" t="s">
        <v>338</v>
      </c>
      <c r="B541" s="17" t="s">
        <v>15</v>
      </c>
      <c r="C541" s="17" t="s">
        <v>149</v>
      </c>
      <c r="D541" s="17" t="s">
        <v>150</v>
      </c>
      <c r="E541" s="17" t="s">
        <v>151</v>
      </c>
      <c r="F541" s="17" t="str">
        <f t="array" ref="F541">IFERROR(INDEX(PL4_TONG_HOP!$P$2:$P$5000,MATCH($C541,PL4_TONG_HOP!$A$2:$A$5000,0)),"")</f>
        <v/>
      </c>
      <c r="G541" s="17">
        <f>COUNTIFS(FILE_UPLOADS!$B:$B,$A541,FILE_UPLOADS!$D:$D,$C541)</f>
        <v>0</v>
      </c>
      <c r="H541" s="17" t="str">
        <f t="shared" si="1"/>
        <v/>
      </c>
    </row>
    <row r="542" ht="15.75" customHeight="1">
      <c r="A542" s="17" t="s">
        <v>338</v>
      </c>
      <c r="B542" s="17" t="s">
        <v>15</v>
      </c>
      <c r="C542" s="17" t="s">
        <v>152</v>
      </c>
      <c r="D542" s="17" t="s">
        <v>153</v>
      </c>
      <c r="E542" s="17" t="s">
        <v>154</v>
      </c>
      <c r="F542" s="17" t="str">
        <f t="array" ref="F542">IFERROR(INDEX(PL4_TONG_HOP!$P$2:$P$5000,MATCH($C542,PL4_TONG_HOP!$A$2:$A$5000,0)),"")</f>
        <v/>
      </c>
      <c r="G542" s="17">
        <f>COUNTIFS(FILE_UPLOADS!$B:$B,$A542,FILE_UPLOADS!$D:$D,$C542)</f>
        <v>0</v>
      </c>
      <c r="H542" s="17" t="str">
        <f t="shared" si="1"/>
        <v/>
      </c>
    </row>
    <row r="543" ht="15.75" customHeight="1">
      <c r="A543" s="17" t="s">
        <v>338</v>
      </c>
      <c r="B543" s="17" t="s">
        <v>15</v>
      </c>
      <c r="C543" s="17" t="s">
        <v>155</v>
      </c>
      <c r="D543" s="17" t="s">
        <v>156</v>
      </c>
      <c r="E543" s="17" t="s">
        <v>157</v>
      </c>
      <c r="F543" s="17" t="str">
        <f t="array" ref="F543">IFERROR(INDEX(PL4_TONG_HOP!$P$2:$P$5000,MATCH($C543,PL4_TONG_HOP!$A$2:$A$5000,0)),"")</f>
        <v/>
      </c>
      <c r="G543" s="17">
        <f>COUNTIFS(FILE_UPLOADS!$B:$B,$A543,FILE_UPLOADS!$D:$D,$C543)</f>
        <v>0</v>
      </c>
      <c r="H543" s="17" t="str">
        <f t="shared" si="1"/>
        <v/>
      </c>
    </row>
    <row r="544" ht="15.75" customHeight="1">
      <c r="A544" s="17" t="s">
        <v>338</v>
      </c>
      <c r="B544" s="17" t="s">
        <v>15</v>
      </c>
      <c r="C544" s="17" t="s">
        <v>161</v>
      </c>
      <c r="D544" s="17" t="s">
        <v>162</v>
      </c>
      <c r="E544" s="17" t="s">
        <v>163</v>
      </c>
      <c r="F544" s="17" t="str">
        <f t="array" ref="F544">IFERROR(INDEX(PL4_TONG_HOP!$P$2:$P$5000,MATCH($C544,PL4_TONG_HOP!$A$2:$A$5000,0)),"")</f>
        <v/>
      </c>
      <c r="G544" s="17">
        <f>COUNTIFS(FILE_UPLOADS!$B:$B,$A544,FILE_UPLOADS!$D:$D,$C544)</f>
        <v>0</v>
      </c>
      <c r="H544" s="17" t="str">
        <f t="shared" si="1"/>
        <v/>
      </c>
    </row>
    <row r="545" ht="15.75" customHeight="1">
      <c r="A545" s="17" t="s">
        <v>338</v>
      </c>
      <c r="B545" s="17" t="s">
        <v>15</v>
      </c>
      <c r="C545" s="17" t="s">
        <v>164</v>
      </c>
      <c r="D545" s="17" t="s">
        <v>165</v>
      </c>
      <c r="E545" s="17" t="s">
        <v>166</v>
      </c>
      <c r="F545" s="17" t="str">
        <f t="array" ref="F545">IFERROR(INDEX(PL4_TONG_HOP!$P$2:$P$5000,MATCH($C545,PL4_TONG_HOP!$A$2:$A$5000,0)),"")</f>
        <v/>
      </c>
      <c r="G545" s="17">
        <f>COUNTIFS(FILE_UPLOADS!$B:$B,$A545,FILE_UPLOADS!$D:$D,$C545)</f>
        <v>0</v>
      </c>
      <c r="H545" s="17" t="str">
        <f t="shared" si="1"/>
        <v/>
      </c>
    </row>
    <row r="546" ht="15.75" customHeight="1">
      <c r="A546" s="17" t="s">
        <v>338</v>
      </c>
      <c r="B546" s="17" t="s">
        <v>15</v>
      </c>
      <c r="C546" s="17" t="s">
        <v>167</v>
      </c>
      <c r="D546" s="17" t="s">
        <v>168</v>
      </c>
      <c r="E546" s="17" t="s">
        <v>169</v>
      </c>
      <c r="F546" s="17" t="str">
        <f t="array" ref="F546">IFERROR(INDEX(PL4_TONG_HOP!$P$2:$P$5000,MATCH($C546,PL4_TONG_HOP!$A$2:$A$5000,0)),"")</f>
        <v/>
      </c>
      <c r="G546" s="17">
        <f>COUNTIFS(FILE_UPLOADS!$B:$B,$A546,FILE_UPLOADS!$D:$D,$C546)</f>
        <v>0</v>
      </c>
      <c r="H546" s="17" t="str">
        <f t="shared" si="1"/>
        <v/>
      </c>
    </row>
    <row r="547" ht="15.75" customHeight="1">
      <c r="A547" s="17" t="s">
        <v>338</v>
      </c>
      <c r="B547" s="17" t="s">
        <v>15</v>
      </c>
      <c r="C547" s="17" t="s">
        <v>173</v>
      </c>
      <c r="D547" s="17" t="s">
        <v>174</v>
      </c>
      <c r="E547" s="17" t="s">
        <v>175</v>
      </c>
      <c r="F547" s="17" t="str">
        <f t="array" ref="F547">IFERROR(INDEX(PL4_TONG_HOP!$P$2:$P$5000,MATCH($C547,PL4_TONG_HOP!$A$2:$A$5000,0)),"")</f>
        <v/>
      </c>
      <c r="G547" s="17">
        <f>COUNTIFS(FILE_UPLOADS!$B:$B,$A547,FILE_UPLOADS!$D:$D,$C547)</f>
        <v>0</v>
      </c>
      <c r="H547" s="17" t="str">
        <f t="shared" si="1"/>
        <v/>
      </c>
    </row>
    <row r="548" ht="15.75" customHeight="1">
      <c r="A548" s="17" t="s">
        <v>338</v>
      </c>
      <c r="B548" s="17" t="s">
        <v>15</v>
      </c>
      <c r="C548" s="17" t="s">
        <v>176</v>
      </c>
      <c r="D548" s="17" t="s">
        <v>177</v>
      </c>
      <c r="E548" s="17" t="s">
        <v>178</v>
      </c>
      <c r="F548" s="17" t="str">
        <f t="array" ref="F548">IFERROR(INDEX(PL4_TONG_HOP!$P$2:$P$5000,MATCH($C548,PL4_TONG_HOP!$A$2:$A$5000,0)),"")</f>
        <v/>
      </c>
      <c r="G548" s="17">
        <f>COUNTIFS(FILE_UPLOADS!$B:$B,$A548,FILE_UPLOADS!$D:$D,$C548)</f>
        <v>0</v>
      </c>
      <c r="H548" s="17" t="str">
        <f t="shared" si="1"/>
        <v/>
      </c>
    </row>
    <row r="549" ht="15.75" customHeight="1">
      <c r="A549" s="17" t="s">
        <v>338</v>
      </c>
      <c r="B549" s="17" t="s">
        <v>15</v>
      </c>
      <c r="C549" s="17" t="s">
        <v>212</v>
      </c>
      <c r="D549" s="17" t="s">
        <v>213</v>
      </c>
      <c r="E549" s="17" t="s">
        <v>214</v>
      </c>
      <c r="F549" s="17" t="str">
        <f t="array" ref="F549">IFERROR(INDEX(PL4_TONG_HOP!$P$2:$P$5000,MATCH($C549,PL4_TONG_HOP!$A$2:$A$5000,0)),"")</f>
        <v/>
      </c>
      <c r="G549" s="17">
        <f>COUNTIFS(FILE_UPLOADS!$B:$B,$A549,FILE_UPLOADS!$D:$D,$C549)</f>
        <v>0</v>
      </c>
      <c r="H549" s="17" t="str">
        <f t="shared" si="1"/>
        <v/>
      </c>
    </row>
    <row r="550" ht="15.75" customHeight="1">
      <c r="A550" s="17" t="s">
        <v>338</v>
      </c>
      <c r="B550" s="17" t="s">
        <v>15</v>
      </c>
      <c r="C550" s="17" t="s">
        <v>215</v>
      </c>
      <c r="D550" s="17" t="s">
        <v>216</v>
      </c>
      <c r="E550" s="17" t="s">
        <v>217</v>
      </c>
      <c r="F550" s="17" t="str">
        <f t="array" ref="F550">IFERROR(INDEX(PL4_TONG_HOP!$P$2:$P$5000,MATCH($C550,PL4_TONG_HOP!$A$2:$A$5000,0)),"")</f>
        <v/>
      </c>
      <c r="G550" s="17">
        <f>COUNTIFS(FILE_UPLOADS!$B:$B,$A550,FILE_UPLOADS!$D:$D,$C550)</f>
        <v>0</v>
      </c>
      <c r="H550" s="17" t="str">
        <f t="shared" si="1"/>
        <v/>
      </c>
    </row>
    <row r="551" ht="15.75" customHeight="1">
      <c r="A551" s="17" t="s">
        <v>338</v>
      </c>
      <c r="B551" s="17" t="s">
        <v>15</v>
      </c>
      <c r="C551" s="17" t="s">
        <v>227</v>
      </c>
      <c r="D551" s="17" t="s">
        <v>228</v>
      </c>
      <c r="E551" s="17" t="s">
        <v>229</v>
      </c>
      <c r="F551" s="17" t="str">
        <f t="array" ref="F551">IFERROR(INDEX(PL4_TONG_HOP!$P$2:$P$5000,MATCH($C551,PL4_TONG_HOP!$A$2:$A$5000,0)),"")</f>
        <v/>
      </c>
      <c r="G551" s="17">
        <f>COUNTIFS(FILE_UPLOADS!$B:$B,$A551,FILE_UPLOADS!$D:$D,$C551)</f>
        <v>0</v>
      </c>
      <c r="H551" s="17" t="str">
        <f t="shared" si="1"/>
        <v/>
      </c>
    </row>
    <row r="552" ht="15.75" customHeight="1">
      <c r="A552" s="17" t="s">
        <v>338</v>
      </c>
      <c r="B552" s="17" t="s">
        <v>15</v>
      </c>
      <c r="C552" s="17" t="s">
        <v>230</v>
      </c>
      <c r="D552" s="17" t="s">
        <v>231</v>
      </c>
      <c r="E552" s="17" t="s">
        <v>232</v>
      </c>
      <c r="F552" s="17" t="str">
        <f t="array" ref="F552">IFERROR(INDEX(PL4_TONG_HOP!$P$2:$P$5000,MATCH($C552,PL4_TONG_HOP!$A$2:$A$5000,0)),"")</f>
        <v/>
      </c>
      <c r="G552" s="17">
        <f>COUNTIFS(FILE_UPLOADS!$B:$B,$A552,FILE_UPLOADS!$D:$D,$C552)</f>
        <v>0</v>
      </c>
      <c r="H552" s="17" t="str">
        <f t="shared" si="1"/>
        <v/>
      </c>
    </row>
    <row r="553" ht="15.75" customHeight="1">
      <c r="A553" s="17" t="s">
        <v>338</v>
      </c>
      <c r="B553" s="17" t="s">
        <v>15</v>
      </c>
      <c r="C553" s="17" t="s">
        <v>236</v>
      </c>
      <c r="D553" s="17" t="s">
        <v>237</v>
      </c>
      <c r="E553" s="17" t="s">
        <v>238</v>
      </c>
      <c r="F553" s="17" t="str">
        <f t="array" ref="F553">IFERROR(INDEX(PL4_TONG_HOP!$P$2:$P$5000,MATCH($C553,PL4_TONG_HOP!$A$2:$A$5000,0)),"")</f>
        <v/>
      </c>
      <c r="G553" s="17">
        <f>COUNTIFS(FILE_UPLOADS!$B:$B,$A553,FILE_UPLOADS!$D:$D,$C553)</f>
        <v>0</v>
      </c>
      <c r="H553" s="17" t="str">
        <f t="shared" si="1"/>
        <v/>
      </c>
    </row>
    <row r="554" ht="15.75" customHeight="1">
      <c r="A554" s="17" t="s">
        <v>338</v>
      </c>
      <c r="B554" s="17" t="s">
        <v>15</v>
      </c>
      <c r="C554" s="17" t="s">
        <v>239</v>
      </c>
      <c r="D554" s="17" t="s">
        <v>240</v>
      </c>
      <c r="E554" s="17" t="s">
        <v>241</v>
      </c>
      <c r="F554" s="17" t="str">
        <f t="array" ref="F554">IFERROR(INDEX(PL4_TONG_HOP!$P$2:$P$5000,MATCH($C554,PL4_TONG_HOP!$A$2:$A$5000,0)),"")</f>
        <v/>
      </c>
      <c r="G554" s="17">
        <f>COUNTIFS(FILE_UPLOADS!$B:$B,$A554,FILE_UPLOADS!$D:$D,$C554)</f>
        <v>0</v>
      </c>
      <c r="H554" s="17" t="str">
        <f t="shared" si="1"/>
        <v/>
      </c>
    </row>
    <row r="555" ht="15.75" customHeight="1">
      <c r="A555" s="17" t="s">
        <v>338</v>
      </c>
      <c r="B555" s="17" t="s">
        <v>15</v>
      </c>
      <c r="C555" s="17" t="s">
        <v>242</v>
      </c>
      <c r="D555" s="17" t="s">
        <v>243</v>
      </c>
      <c r="E555" s="17" t="s">
        <v>244</v>
      </c>
      <c r="F555" s="17" t="str">
        <f t="array" ref="F555">IFERROR(INDEX(PL4_TONG_HOP!$P$2:$P$5000,MATCH($C555,PL4_TONG_HOP!$A$2:$A$5000,0)),"")</f>
        <v/>
      </c>
      <c r="G555" s="17">
        <f>COUNTIFS(FILE_UPLOADS!$B:$B,$A555,FILE_UPLOADS!$D:$D,$C555)</f>
        <v>0</v>
      </c>
      <c r="H555" s="17" t="str">
        <f t="shared" si="1"/>
        <v/>
      </c>
    </row>
    <row r="556" ht="15.75" customHeight="1">
      <c r="A556" s="17" t="s">
        <v>338</v>
      </c>
      <c r="B556" s="17" t="s">
        <v>15</v>
      </c>
      <c r="C556" s="17" t="s">
        <v>248</v>
      </c>
      <c r="D556" s="17" t="s">
        <v>249</v>
      </c>
      <c r="E556" s="17" t="s">
        <v>250</v>
      </c>
      <c r="F556" s="17" t="str">
        <f t="array" ref="F556">IFERROR(INDEX(PL4_TONG_HOP!$P$2:$P$5000,MATCH($C556,PL4_TONG_HOP!$A$2:$A$5000,0)),"")</f>
        <v/>
      </c>
      <c r="G556" s="17">
        <f>COUNTIFS(FILE_UPLOADS!$B:$B,$A556,FILE_UPLOADS!$D:$D,$C556)</f>
        <v>0</v>
      </c>
      <c r="H556" s="17" t="str">
        <f t="shared" si="1"/>
        <v/>
      </c>
    </row>
    <row r="557" ht="15.75" customHeight="1">
      <c r="A557" s="17" t="s">
        <v>338</v>
      </c>
      <c r="B557" s="17" t="s">
        <v>15</v>
      </c>
      <c r="C557" s="17" t="s">
        <v>251</v>
      </c>
      <c r="D557" s="17" t="s">
        <v>252</v>
      </c>
      <c r="E557" s="17" t="s">
        <v>253</v>
      </c>
      <c r="F557" s="17" t="str">
        <f t="array" ref="F557">IFERROR(INDEX(PL4_TONG_HOP!$P$2:$P$5000,MATCH($C557,PL4_TONG_HOP!$A$2:$A$5000,0)),"")</f>
        <v/>
      </c>
      <c r="G557" s="17">
        <f>COUNTIFS(FILE_UPLOADS!$B:$B,$A557,FILE_UPLOADS!$D:$D,$C557)</f>
        <v>0</v>
      </c>
      <c r="H557" s="17" t="str">
        <f t="shared" si="1"/>
        <v/>
      </c>
    </row>
    <row r="558" ht="15.75" customHeight="1">
      <c r="A558" s="17" t="s">
        <v>338</v>
      </c>
      <c r="B558" s="17" t="s">
        <v>15</v>
      </c>
      <c r="C558" s="17" t="s">
        <v>254</v>
      </c>
      <c r="D558" s="17" t="s">
        <v>255</v>
      </c>
      <c r="E558" s="17" t="s">
        <v>256</v>
      </c>
      <c r="F558" s="17" t="str">
        <f t="array" ref="F558">IFERROR(INDEX(PL4_TONG_HOP!$P$2:$P$5000,MATCH($C558,PL4_TONG_HOP!$A$2:$A$5000,0)),"")</f>
        <v/>
      </c>
      <c r="G558" s="17">
        <f>COUNTIFS(FILE_UPLOADS!$B:$B,$A558,FILE_UPLOADS!$D:$D,$C558)</f>
        <v>0</v>
      </c>
      <c r="H558" s="17" t="str">
        <f t="shared" si="1"/>
        <v/>
      </c>
    </row>
    <row r="559" ht="15.75" customHeight="1">
      <c r="A559" s="17" t="s">
        <v>338</v>
      </c>
      <c r="B559" s="17" t="s">
        <v>15</v>
      </c>
      <c r="C559" s="17" t="s">
        <v>260</v>
      </c>
      <c r="D559" s="17" t="s">
        <v>261</v>
      </c>
      <c r="E559" s="17" t="s">
        <v>262</v>
      </c>
      <c r="F559" s="17" t="str">
        <f t="array" ref="F559">IFERROR(INDEX(PL4_TONG_HOP!$P$2:$P$5000,MATCH($C559,PL4_TONG_HOP!$A$2:$A$5000,0)),"")</f>
        <v/>
      </c>
      <c r="G559" s="17">
        <f>COUNTIFS(FILE_UPLOADS!$B:$B,$A559,FILE_UPLOADS!$D:$D,$C559)</f>
        <v>0</v>
      </c>
      <c r="H559" s="17" t="str">
        <f t="shared" si="1"/>
        <v/>
      </c>
    </row>
    <row r="560" ht="15.75" customHeight="1">
      <c r="A560" s="17" t="s">
        <v>338</v>
      </c>
      <c r="B560" s="17" t="s">
        <v>15</v>
      </c>
      <c r="C560" s="17" t="s">
        <v>263</v>
      </c>
      <c r="D560" s="17" t="s">
        <v>264</v>
      </c>
      <c r="E560" s="17" t="s">
        <v>265</v>
      </c>
      <c r="F560" s="17" t="str">
        <f t="array" ref="F560">IFERROR(INDEX(PL4_TONG_HOP!$P$2:$P$5000,MATCH($C560,PL4_TONG_HOP!$A$2:$A$5000,0)),"")</f>
        <v/>
      </c>
      <c r="G560" s="17">
        <f>COUNTIFS(FILE_UPLOADS!$B:$B,$A560,FILE_UPLOADS!$D:$D,$C560)</f>
        <v>0</v>
      </c>
      <c r="H560" s="17" t="str">
        <f t="shared" si="1"/>
        <v/>
      </c>
    </row>
    <row r="561" ht="15.75" customHeight="1">
      <c r="A561" s="17" t="s">
        <v>338</v>
      </c>
      <c r="B561" s="17" t="s">
        <v>15</v>
      </c>
      <c r="C561" s="17" t="s">
        <v>266</v>
      </c>
      <c r="D561" s="17" t="s">
        <v>267</v>
      </c>
      <c r="E561" s="17" t="s">
        <v>268</v>
      </c>
      <c r="F561" s="17" t="str">
        <f t="array" ref="F561">IFERROR(INDEX(PL4_TONG_HOP!$P$2:$P$5000,MATCH($C561,PL4_TONG_HOP!$A$2:$A$5000,0)),"")</f>
        <v/>
      </c>
      <c r="G561" s="17">
        <f>COUNTIFS(FILE_UPLOADS!$B:$B,$A561,FILE_UPLOADS!$D:$D,$C561)</f>
        <v>0</v>
      </c>
      <c r="H561" s="17" t="str">
        <f t="shared" si="1"/>
        <v/>
      </c>
    </row>
    <row r="562" ht="15.75" customHeight="1">
      <c r="A562" s="17" t="s">
        <v>338</v>
      </c>
      <c r="B562" s="17" t="s">
        <v>15</v>
      </c>
      <c r="C562" s="17" t="s">
        <v>269</v>
      </c>
      <c r="D562" s="17" t="s">
        <v>270</v>
      </c>
      <c r="E562" s="17" t="s">
        <v>271</v>
      </c>
      <c r="F562" s="17" t="str">
        <f t="array" ref="F562">IFERROR(INDEX(PL4_TONG_HOP!$P$2:$P$5000,MATCH($C562,PL4_TONG_HOP!$A$2:$A$5000,0)),"")</f>
        <v/>
      </c>
      <c r="G562" s="17">
        <f>COUNTIFS(FILE_UPLOADS!$B:$B,$A562,FILE_UPLOADS!$D:$D,$C562)</f>
        <v>0</v>
      </c>
      <c r="H562" s="17" t="str">
        <f t="shared" si="1"/>
        <v/>
      </c>
    </row>
    <row r="563" ht="15.75" customHeight="1">
      <c r="A563" s="17" t="s">
        <v>338</v>
      </c>
      <c r="B563" s="17" t="s">
        <v>15</v>
      </c>
      <c r="C563" s="17" t="s">
        <v>272</v>
      </c>
      <c r="D563" s="17" t="s">
        <v>273</v>
      </c>
      <c r="E563" s="17" t="s">
        <v>274</v>
      </c>
      <c r="F563" s="17" t="str">
        <f t="array" ref="F563">IFERROR(INDEX(PL4_TONG_HOP!$P$2:$P$5000,MATCH($C563,PL4_TONG_HOP!$A$2:$A$5000,0)),"")</f>
        <v/>
      </c>
      <c r="G563" s="17">
        <f>COUNTIFS(FILE_UPLOADS!$B:$B,$A563,FILE_UPLOADS!$D:$D,$C563)</f>
        <v>0</v>
      </c>
      <c r="H563" s="17" t="str">
        <f t="shared" si="1"/>
        <v/>
      </c>
    </row>
    <row r="564" ht="15.75" customHeight="1">
      <c r="A564" s="17" t="s">
        <v>338</v>
      </c>
      <c r="B564" s="17" t="s">
        <v>15</v>
      </c>
      <c r="C564" s="17" t="s">
        <v>275</v>
      </c>
      <c r="D564" s="17" t="s">
        <v>276</v>
      </c>
      <c r="E564" s="17" t="s">
        <v>277</v>
      </c>
      <c r="F564" s="17" t="str">
        <f t="array" ref="F564">IFERROR(INDEX(PL4_TONG_HOP!$P$2:$P$5000,MATCH($C564,PL4_TONG_HOP!$A$2:$A$5000,0)),"")</f>
        <v/>
      </c>
      <c r="G564" s="17">
        <f>COUNTIFS(FILE_UPLOADS!$B:$B,$A564,FILE_UPLOADS!$D:$D,$C564)</f>
        <v>0</v>
      </c>
      <c r="H564" s="17" t="str">
        <f t="shared" si="1"/>
        <v/>
      </c>
    </row>
    <row r="565" ht="15.75" customHeight="1">
      <c r="A565" s="17" t="s">
        <v>338</v>
      </c>
      <c r="B565" s="17" t="s">
        <v>15</v>
      </c>
      <c r="C565" s="17" t="s">
        <v>278</v>
      </c>
      <c r="D565" s="17" t="s">
        <v>279</v>
      </c>
      <c r="E565" s="17" t="s">
        <v>280</v>
      </c>
      <c r="F565" s="17" t="str">
        <f t="array" ref="F565">IFERROR(INDEX(PL4_TONG_HOP!$P$2:$P$5000,MATCH($C565,PL4_TONG_HOP!$A$2:$A$5000,0)),"")</f>
        <v/>
      </c>
      <c r="G565" s="17">
        <f>COUNTIFS(FILE_UPLOADS!$B:$B,$A565,FILE_UPLOADS!$D:$D,$C565)</f>
        <v>0</v>
      </c>
      <c r="H565" s="17" t="str">
        <f t="shared" si="1"/>
        <v/>
      </c>
    </row>
    <row r="566" ht="15.75" customHeight="1">
      <c r="A566" s="17" t="s">
        <v>338</v>
      </c>
      <c r="B566" s="17" t="s">
        <v>15</v>
      </c>
      <c r="C566" s="17" t="s">
        <v>281</v>
      </c>
      <c r="D566" s="17" t="s">
        <v>282</v>
      </c>
      <c r="E566" s="17" t="s">
        <v>283</v>
      </c>
      <c r="F566" s="17" t="str">
        <f t="array" ref="F566">IFERROR(INDEX(PL4_TONG_HOP!$P$2:$P$5000,MATCH($C566,PL4_TONG_HOP!$A$2:$A$5000,0)),"")</f>
        <v/>
      </c>
      <c r="G566" s="17">
        <f>COUNTIFS(FILE_UPLOADS!$B:$B,$A566,FILE_UPLOADS!$D:$D,$C566)</f>
        <v>0</v>
      </c>
      <c r="H566" s="17" t="str">
        <f t="shared" si="1"/>
        <v/>
      </c>
    </row>
    <row r="567" ht="15.75" customHeight="1">
      <c r="A567" s="17" t="s">
        <v>338</v>
      </c>
      <c r="B567" s="17" t="s">
        <v>15</v>
      </c>
      <c r="C567" s="17" t="s">
        <v>290</v>
      </c>
      <c r="D567" s="17" t="s">
        <v>291</v>
      </c>
      <c r="E567" s="17" t="s">
        <v>292</v>
      </c>
      <c r="F567" s="17" t="str">
        <f t="array" ref="F567">IFERROR(INDEX(PL4_TONG_HOP!$P$2:$P$5000,MATCH($C567,PL4_TONG_HOP!$A$2:$A$5000,0)),"")</f>
        <v/>
      </c>
      <c r="G567" s="17">
        <f>COUNTIFS(FILE_UPLOADS!$B:$B,$A567,FILE_UPLOADS!$D:$D,$C567)</f>
        <v>0</v>
      </c>
      <c r="H567" s="17" t="str">
        <f t="shared" si="1"/>
        <v/>
      </c>
    </row>
    <row r="568" ht="15.75" customHeight="1">
      <c r="A568" s="17" t="s">
        <v>338</v>
      </c>
      <c r="B568" s="17" t="s">
        <v>15</v>
      </c>
      <c r="C568" s="17" t="s">
        <v>293</v>
      </c>
      <c r="D568" s="17" t="s">
        <v>294</v>
      </c>
      <c r="E568" s="17" t="s">
        <v>295</v>
      </c>
      <c r="F568" s="17" t="str">
        <f t="array" ref="F568">IFERROR(INDEX(PL4_TONG_HOP!$P$2:$P$5000,MATCH($C568,PL4_TONG_HOP!$A$2:$A$5000,0)),"")</f>
        <v/>
      </c>
      <c r="G568" s="17">
        <f>COUNTIFS(FILE_UPLOADS!$B:$B,$A568,FILE_UPLOADS!$D:$D,$C568)</f>
        <v>0</v>
      </c>
      <c r="H568" s="17" t="str">
        <f t="shared" si="1"/>
        <v/>
      </c>
    </row>
    <row r="569" ht="15.75" customHeight="1">
      <c r="A569" s="17" t="s">
        <v>338</v>
      </c>
      <c r="B569" s="17" t="s">
        <v>15</v>
      </c>
      <c r="C569" s="17" t="s">
        <v>299</v>
      </c>
      <c r="D569" s="17" t="s">
        <v>300</v>
      </c>
      <c r="E569" s="17" t="s">
        <v>301</v>
      </c>
      <c r="F569" s="17" t="str">
        <f t="array" ref="F569">IFERROR(INDEX(PL4_TONG_HOP!$P$2:$P$5000,MATCH($C569,PL4_TONG_HOP!$A$2:$A$5000,0)),"")</f>
        <v/>
      </c>
      <c r="G569" s="17">
        <f>COUNTIFS(FILE_UPLOADS!$B:$B,$A569,FILE_UPLOADS!$D:$D,$C569)</f>
        <v>0</v>
      </c>
      <c r="H569" s="17" t="str">
        <f t="shared" si="1"/>
        <v/>
      </c>
    </row>
    <row r="570" ht="15.75" customHeight="1">
      <c r="A570" s="17" t="s">
        <v>338</v>
      </c>
      <c r="B570" s="17" t="s">
        <v>15</v>
      </c>
      <c r="C570" s="17" t="s">
        <v>302</v>
      </c>
      <c r="D570" s="17" t="s">
        <v>303</v>
      </c>
      <c r="E570" s="17" t="s">
        <v>304</v>
      </c>
      <c r="F570" s="17" t="str">
        <f t="array" ref="F570">IFERROR(INDEX(PL4_TONG_HOP!$P$2:$P$5000,MATCH($C570,PL4_TONG_HOP!$A$2:$A$5000,0)),"")</f>
        <v/>
      </c>
      <c r="G570" s="17">
        <f>COUNTIFS(FILE_UPLOADS!$B:$B,$A570,FILE_UPLOADS!$D:$D,$C570)</f>
        <v>0</v>
      </c>
      <c r="H570" s="17" t="str">
        <f t="shared" si="1"/>
        <v/>
      </c>
    </row>
    <row r="571" ht="15.75" customHeight="1">
      <c r="A571" s="17" t="s">
        <v>338</v>
      </c>
      <c r="B571" s="17" t="s">
        <v>15</v>
      </c>
      <c r="C571" s="17" t="s">
        <v>308</v>
      </c>
      <c r="D571" s="17" t="s">
        <v>309</v>
      </c>
      <c r="E571" s="17" t="s">
        <v>310</v>
      </c>
      <c r="F571" s="17" t="str">
        <f t="array" ref="F571">IFERROR(INDEX(PL4_TONG_HOP!$P$2:$P$5000,MATCH($C571,PL4_TONG_HOP!$A$2:$A$5000,0)),"")</f>
        <v/>
      </c>
      <c r="G571" s="17">
        <f>COUNTIFS(FILE_UPLOADS!$B:$B,$A571,FILE_UPLOADS!$D:$D,$C571)</f>
        <v>0</v>
      </c>
      <c r="H571" s="17" t="str">
        <f t="shared" si="1"/>
        <v/>
      </c>
    </row>
    <row r="572" ht="15.75" customHeight="1">
      <c r="A572" s="17" t="s">
        <v>338</v>
      </c>
      <c r="B572" s="17" t="s">
        <v>15</v>
      </c>
      <c r="C572" s="17" t="s">
        <v>311</v>
      </c>
      <c r="D572" s="17" t="s">
        <v>312</v>
      </c>
      <c r="E572" s="17" t="s">
        <v>313</v>
      </c>
      <c r="F572" s="17" t="str">
        <f t="array" ref="F572">IFERROR(INDEX(PL4_TONG_HOP!$P$2:$P$5000,MATCH($C572,PL4_TONG_HOP!$A$2:$A$5000,0)),"")</f>
        <v/>
      </c>
      <c r="G572" s="17">
        <f>COUNTIFS(FILE_UPLOADS!$B:$B,$A572,FILE_UPLOADS!$D:$D,$C572)</f>
        <v>0</v>
      </c>
      <c r="H572" s="17" t="str">
        <f t="shared" si="1"/>
        <v/>
      </c>
    </row>
    <row r="573" ht="15.75" customHeight="1">
      <c r="A573" s="17" t="s">
        <v>338</v>
      </c>
      <c r="B573" s="17" t="s">
        <v>15</v>
      </c>
      <c r="C573" s="17" t="s">
        <v>314</v>
      </c>
      <c r="D573" s="17" t="s">
        <v>315</v>
      </c>
      <c r="E573" s="17" t="s">
        <v>316</v>
      </c>
      <c r="F573" s="17" t="str">
        <f t="array" ref="F573">IFERROR(INDEX(PL4_TONG_HOP!$P$2:$P$5000,MATCH($C573,PL4_TONG_HOP!$A$2:$A$5000,0)),"")</f>
        <v/>
      </c>
      <c r="G573" s="17">
        <f>COUNTIFS(FILE_UPLOADS!$B:$B,$A573,FILE_UPLOADS!$D:$D,$C573)</f>
        <v>0</v>
      </c>
      <c r="H573" s="17" t="str">
        <f t="shared" si="1"/>
        <v/>
      </c>
    </row>
    <row r="574" ht="15.75" customHeight="1">
      <c r="A574" s="17" t="s">
        <v>339</v>
      </c>
      <c r="B574" s="17" t="s">
        <v>16</v>
      </c>
      <c r="C574" s="17" t="s">
        <v>46</v>
      </c>
      <c r="D574" s="17" t="s">
        <v>47</v>
      </c>
      <c r="E574" s="17" t="s">
        <v>48</v>
      </c>
      <c r="F574" s="17" t="str">
        <f t="array" ref="F574">IFERROR(INDEX(PL4_TONG_HOP!$Q$2:$Q$5000,MATCH($C574,PL4_TONG_HOP!$A$2:$A$5000,0)),"")</f>
        <v/>
      </c>
      <c r="G574" s="17">
        <f>COUNTIFS(FILE_UPLOADS!$B:$B,$A574,FILE_UPLOADS!$D:$D,$C574)</f>
        <v>0</v>
      </c>
      <c r="H574" s="17" t="str">
        <f t="shared" si="1"/>
        <v/>
      </c>
    </row>
    <row r="575" ht="15.75" customHeight="1">
      <c r="A575" s="17" t="s">
        <v>339</v>
      </c>
      <c r="B575" s="17" t="s">
        <v>16</v>
      </c>
      <c r="C575" s="17" t="s">
        <v>78</v>
      </c>
      <c r="D575" s="17" t="s">
        <v>79</v>
      </c>
      <c r="E575" s="17" t="s">
        <v>80</v>
      </c>
      <c r="F575" s="17" t="str">
        <f t="array" ref="F575">IFERROR(INDEX(PL4_TONG_HOP!$Q$2:$Q$5000,MATCH($C575,PL4_TONG_HOP!$A$2:$A$5000,0)),"")</f>
        <v/>
      </c>
      <c r="G575" s="17">
        <f>COUNTIFS(FILE_UPLOADS!$B:$B,$A575,FILE_UPLOADS!$D:$D,$C575)</f>
        <v>0</v>
      </c>
      <c r="H575" s="17" t="str">
        <f t="shared" si="1"/>
        <v/>
      </c>
    </row>
    <row r="576" ht="15.75" customHeight="1">
      <c r="A576" s="17" t="s">
        <v>339</v>
      </c>
      <c r="B576" s="17" t="s">
        <v>16</v>
      </c>
      <c r="C576" s="17" t="s">
        <v>81</v>
      </c>
      <c r="D576" s="17" t="s">
        <v>82</v>
      </c>
      <c r="E576" s="17" t="s">
        <v>83</v>
      </c>
      <c r="F576" s="17" t="str">
        <f t="array" ref="F576">IFERROR(INDEX(PL4_TONG_HOP!$Q$2:$Q$5000,MATCH($C576,PL4_TONG_HOP!$A$2:$A$5000,0)),"")</f>
        <v/>
      </c>
      <c r="G576" s="17">
        <f>COUNTIFS(FILE_UPLOADS!$B:$B,$A576,FILE_UPLOADS!$D:$D,$C576)</f>
        <v>0</v>
      </c>
      <c r="H576" s="17" t="str">
        <f t="shared" si="1"/>
        <v/>
      </c>
    </row>
    <row r="577" ht="15.75" customHeight="1">
      <c r="A577" s="17" t="s">
        <v>339</v>
      </c>
      <c r="B577" s="17" t="s">
        <v>16</v>
      </c>
      <c r="C577" s="17" t="s">
        <v>87</v>
      </c>
      <c r="D577" s="17" t="s">
        <v>88</v>
      </c>
      <c r="E577" s="17" t="s">
        <v>89</v>
      </c>
      <c r="F577" s="17" t="str">
        <f t="array" ref="F577">IFERROR(INDEX(PL4_TONG_HOP!$Q$2:$Q$5000,MATCH($C577,PL4_TONG_HOP!$A$2:$A$5000,0)),"")</f>
        <v/>
      </c>
      <c r="G577" s="17">
        <f>COUNTIFS(FILE_UPLOADS!$B:$B,$A577,FILE_UPLOADS!$D:$D,$C577)</f>
        <v>0</v>
      </c>
      <c r="H577" s="17" t="str">
        <f t="shared" si="1"/>
        <v/>
      </c>
    </row>
    <row r="578" ht="15.75" customHeight="1">
      <c r="A578" s="17" t="s">
        <v>339</v>
      </c>
      <c r="B578" s="17" t="s">
        <v>16</v>
      </c>
      <c r="C578" s="17" t="s">
        <v>90</v>
      </c>
      <c r="D578" s="17" t="s">
        <v>91</v>
      </c>
      <c r="E578" s="17" t="s">
        <v>92</v>
      </c>
      <c r="F578" s="17" t="str">
        <f t="array" ref="F578">IFERROR(INDEX(PL4_TONG_HOP!$Q$2:$Q$5000,MATCH($C578,PL4_TONG_HOP!$A$2:$A$5000,0)),"")</f>
        <v/>
      </c>
      <c r="G578" s="17">
        <f>COUNTIFS(FILE_UPLOADS!$B:$B,$A578,FILE_UPLOADS!$D:$D,$C578)</f>
        <v>0</v>
      </c>
      <c r="H578" s="17" t="str">
        <f t="shared" si="1"/>
        <v/>
      </c>
    </row>
    <row r="579" ht="15.75" customHeight="1">
      <c r="A579" s="17" t="s">
        <v>339</v>
      </c>
      <c r="B579" s="17" t="s">
        <v>16</v>
      </c>
      <c r="C579" s="17" t="s">
        <v>93</v>
      </c>
      <c r="D579" s="17" t="s">
        <v>85</v>
      </c>
      <c r="E579" s="17" t="s">
        <v>94</v>
      </c>
      <c r="F579" s="17" t="str">
        <f t="array" ref="F579">IFERROR(INDEX(PL4_TONG_HOP!$Q$2:$Q$5000,MATCH($C579,PL4_TONG_HOP!$A$2:$A$5000,0)),"")</f>
        <v/>
      </c>
      <c r="G579" s="17">
        <f>COUNTIFS(FILE_UPLOADS!$B:$B,$A579,FILE_UPLOADS!$D:$D,$C579)</f>
        <v>0</v>
      </c>
      <c r="H579" s="17" t="str">
        <f t="shared" si="1"/>
        <v/>
      </c>
    </row>
    <row r="580" ht="15.75" customHeight="1">
      <c r="A580" s="17" t="s">
        <v>339</v>
      </c>
      <c r="B580" s="17" t="s">
        <v>16</v>
      </c>
      <c r="C580" s="17" t="s">
        <v>95</v>
      </c>
      <c r="D580" s="17" t="s">
        <v>96</v>
      </c>
      <c r="E580" s="17" t="s">
        <v>97</v>
      </c>
      <c r="F580" s="17" t="str">
        <f t="array" ref="F580">IFERROR(INDEX(PL4_TONG_HOP!$Q$2:$Q$5000,MATCH($C580,PL4_TONG_HOP!$A$2:$A$5000,0)),"")</f>
        <v/>
      </c>
      <c r="G580" s="17">
        <f>COUNTIFS(FILE_UPLOADS!$B:$B,$A580,FILE_UPLOADS!$D:$D,$C580)</f>
        <v>0</v>
      </c>
      <c r="H580" s="17" t="str">
        <f t="shared" si="1"/>
        <v/>
      </c>
    </row>
    <row r="581" ht="15.75" customHeight="1">
      <c r="A581" s="17" t="s">
        <v>339</v>
      </c>
      <c r="B581" s="17" t="s">
        <v>16</v>
      </c>
      <c r="C581" s="17" t="s">
        <v>98</v>
      </c>
      <c r="D581" s="17" t="s">
        <v>99</v>
      </c>
      <c r="E581" s="17" t="s">
        <v>100</v>
      </c>
      <c r="F581" s="17" t="str">
        <f t="array" ref="F581">IFERROR(INDEX(PL4_TONG_HOP!$Q$2:$Q$5000,MATCH($C581,PL4_TONG_HOP!$A$2:$A$5000,0)),"")</f>
        <v/>
      </c>
      <c r="G581" s="17">
        <f>COUNTIFS(FILE_UPLOADS!$B:$B,$A581,FILE_UPLOADS!$D:$D,$C581)</f>
        <v>0</v>
      </c>
      <c r="H581" s="17" t="str">
        <f t="shared" si="1"/>
        <v/>
      </c>
    </row>
    <row r="582" ht="15.75" customHeight="1">
      <c r="A582" s="17" t="s">
        <v>339</v>
      </c>
      <c r="B582" s="17" t="s">
        <v>16</v>
      </c>
      <c r="C582" s="17" t="s">
        <v>101</v>
      </c>
      <c r="D582" s="17" t="s">
        <v>102</v>
      </c>
      <c r="E582" s="17" t="s">
        <v>103</v>
      </c>
      <c r="F582" s="17" t="str">
        <f t="array" ref="F582">IFERROR(INDEX(PL4_TONG_HOP!$Q$2:$Q$5000,MATCH($C582,PL4_TONG_HOP!$A$2:$A$5000,0)),"")</f>
        <v/>
      </c>
      <c r="G582" s="17">
        <f>COUNTIFS(FILE_UPLOADS!$B:$B,$A582,FILE_UPLOADS!$D:$D,$C582)</f>
        <v>0</v>
      </c>
      <c r="H582" s="17" t="str">
        <f t="shared" si="1"/>
        <v/>
      </c>
    </row>
    <row r="583" ht="15.75" customHeight="1">
      <c r="A583" s="17" t="s">
        <v>339</v>
      </c>
      <c r="B583" s="17" t="s">
        <v>16</v>
      </c>
      <c r="C583" s="17" t="s">
        <v>113</v>
      </c>
      <c r="D583" s="17" t="s">
        <v>114</v>
      </c>
      <c r="E583" s="17" t="s">
        <v>115</v>
      </c>
      <c r="F583" s="17" t="str">
        <f t="array" ref="F583">IFERROR(INDEX(PL4_TONG_HOP!$Q$2:$Q$5000,MATCH($C583,PL4_TONG_HOP!$A$2:$A$5000,0)),"")</f>
        <v/>
      </c>
      <c r="G583" s="17">
        <f>COUNTIFS(FILE_UPLOADS!$B:$B,$A583,FILE_UPLOADS!$D:$D,$C583)</f>
        <v>0</v>
      </c>
      <c r="H583" s="17" t="str">
        <f t="shared" si="1"/>
        <v/>
      </c>
    </row>
    <row r="584" ht="15.75" customHeight="1">
      <c r="A584" s="17" t="s">
        <v>339</v>
      </c>
      <c r="B584" s="17" t="s">
        <v>16</v>
      </c>
      <c r="C584" s="17" t="s">
        <v>116</v>
      </c>
      <c r="D584" s="17" t="s">
        <v>117</v>
      </c>
      <c r="E584" s="17" t="s">
        <v>118</v>
      </c>
      <c r="F584" s="17" t="str">
        <f t="array" ref="F584">IFERROR(INDEX(PL4_TONG_HOP!$Q$2:$Q$5000,MATCH($C584,PL4_TONG_HOP!$A$2:$A$5000,0)),"")</f>
        <v/>
      </c>
      <c r="G584" s="17">
        <f>COUNTIFS(FILE_UPLOADS!$B:$B,$A584,FILE_UPLOADS!$D:$D,$C584)</f>
        <v>0</v>
      </c>
      <c r="H584" s="17" t="str">
        <f t="shared" si="1"/>
        <v/>
      </c>
    </row>
    <row r="585" ht="15.75" customHeight="1">
      <c r="A585" s="17" t="s">
        <v>339</v>
      </c>
      <c r="B585" s="17" t="s">
        <v>16</v>
      </c>
      <c r="C585" s="17" t="s">
        <v>119</v>
      </c>
      <c r="D585" s="17" t="s">
        <v>120</v>
      </c>
      <c r="E585" s="17" t="s">
        <v>121</v>
      </c>
      <c r="F585" s="17" t="str">
        <f t="array" ref="F585">IFERROR(INDEX(PL4_TONG_HOP!$Q$2:$Q$5000,MATCH($C585,PL4_TONG_HOP!$A$2:$A$5000,0)),"")</f>
        <v/>
      </c>
      <c r="G585" s="17">
        <f>COUNTIFS(FILE_UPLOADS!$B:$B,$A585,FILE_UPLOADS!$D:$D,$C585)</f>
        <v>0</v>
      </c>
      <c r="H585" s="17" t="str">
        <f t="shared" si="1"/>
        <v/>
      </c>
    </row>
    <row r="586" ht="15.75" customHeight="1">
      <c r="A586" s="17" t="s">
        <v>339</v>
      </c>
      <c r="B586" s="17" t="s">
        <v>16</v>
      </c>
      <c r="C586" s="17" t="s">
        <v>122</v>
      </c>
      <c r="D586" s="17" t="s">
        <v>123</v>
      </c>
      <c r="E586" s="17" t="s">
        <v>124</v>
      </c>
      <c r="F586" s="17" t="str">
        <f t="array" ref="F586">IFERROR(INDEX(PL4_TONG_HOP!$Q$2:$Q$5000,MATCH($C586,PL4_TONG_HOP!$A$2:$A$5000,0)),"")</f>
        <v/>
      </c>
      <c r="G586" s="17">
        <f>COUNTIFS(FILE_UPLOADS!$B:$B,$A586,FILE_UPLOADS!$D:$D,$C586)</f>
        <v>0</v>
      </c>
      <c r="H586" s="17" t="str">
        <f t="shared" si="1"/>
        <v/>
      </c>
    </row>
    <row r="587" ht="15.75" customHeight="1">
      <c r="A587" s="17" t="s">
        <v>339</v>
      </c>
      <c r="B587" s="17" t="s">
        <v>16</v>
      </c>
      <c r="C587" s="17" t="s">
        <v>125</v>
      </c>
      <c r="D587" s="17" t="s">
        <v>126</v>
      </c>
      <c r="E587" s="17" t="s">
        <v>127</v>
      </c>
      <c r="F587" s="17" t="str">
        <f t="array" ref="F587">IFERROR(INDEX(PL4_TONG_HOP!$Q$2:$Q$5000,MATCH($C587,PL4_TONG_HOP!$A$2:$A$5000,0)),"")</f>
        <v/>
      </c>
      <c r="G587" s="17">
        <f>COUNTIFS(FILE_UPLOADS!$B:$B,$A587,FILE_UPLOADS!$D:$D,$C587)</f>
        <v>0</v>
      </c>
      <c r="H587" s="17" t="str">
        <f t="shared" si="1"/>
        <v/>
      </c>
    </row>
    <row r="588" ht="15.75" customHeight="1">
      <c r="A588" s="17" t="s">
        <v>339</v>
      </c>
      <c r="B588" s="17" t="s">
        <v>16</v>
      </c>
      <c r="C588" s="17" t="s">
        <v>128</v>
      </c>
      <c r="D588" s="17" t="s">
        <v>129</v>
      </c>
      <c r="E588" s="17" t="s">
        <v>130</v>
      </c>
      <c r="F588" s="17" t="str">
        <f t="array" ref="F588">IFERROR(INDEX(PL4_TONG_HOP!$Q$2:$Q$5000,MATCH($C588,PL4_TONG_HOP!$A$2:$A$5000,0)),"")</f>
        <v/>
      </c>
      <c r="G588" s="17">
        <f>COUNTIFS(FILE_UPLOADS!$B:$B,$A588,FILE_UPLOADS!$D:$D,$C588)</f>
        <v>0</v>
      </c>
      <c r="H588" s="17" t="str">
        <f t="shared" si="1"/>
        <v/>
      </c>
    </row>
    <row r="589" ht="15.75" customHeight="1">
      <c r="A589" s="17" t="s">
        <v>339</v>
      </c>
      <c r="B589" s="17" t="s">
        <v>16</v>
      </c>
      <c r="C589" s="17" t="s">
        <v>131</v>
      </c>
      <c r="D589" s="17" t="s">
        <v>132</v>
      </c>
      <c r="E589" s="17" t="s">
        <v>133</v>
      </c>
      <c r="F589" s="17" t="str">
        <f t="array" ref="F589">IFERROR(INDEX(PL4_TONG_HOP!$Q$2:$Q$5000,MATCH($C589,PL4_TONG_HOP!$A$2:$A$5000,0)),"")</f>
        <v/>
      </c>
      <c r="G589" s="17">
        <f>COUNTIFS(FILE_UPLOADS!$B:$B,$A589,FILE_UPLOADS!$D:$D,$C589)</f>
        <v>0</v>
      </c>
      <c r="H589" s="17" t="str">
        <f t="shared" si="1"/>
        <v/>
      </c>
    </row>
    <row r="590" ht="15.75" customHeight="1">
      <c r="A590" s="17" t="s">
        <v>339</v>
      </c>
      <c r="B590" s="17" t="s">
        <v>16</v>
      </c>
      <c r="C590" s="17" t="s">
        <v>134</v>
      </c>
      <c r="D590" s="17" t="s">
        <v>135</v>
      </c>
      <c r="E590" s="17" t="s">
        <v>136</v>
      </c>
      <c r="F590" s="17" t="str">
        <f t="array" ref="F590">IFERROR(INDEX(PL4_TONG_HOP!$Q$2:$Q$5000,MATCH($C590,PL4_TONG_HOP!$A$2:$A$5000,0)),"")</f>
        <v/>
      </c>
      <c r="G590" s="17">
        <f>COUNTIFS(FILE_UPLOADS!$B:$B,$A590,FILE_UPLOADS!$D:$D,$C590)</f>
        <v>0</v>
      </c>
      <c r="H590" s="17" t="str">
        <f t="shared" si="1"/>
        <v/>
      </c>
    </row>
    <row r="591" ht="15.75" customHeight="1">
      <c r="A591" s="17" t="s">
        <v>339</v>
      </c>
      <c r="B591" s="17" t="s">
        <v>16</v>
      </c>
      <c r="C591" s="17" t="s">
        <v>140</v>
      </c>
      <c r="D591" s="17" t="s">
        <v>141</v>
      </c>
      <c r="E591" s="17" t="s">
        <v>142</v>
      </c>
      <c r="F591" s="17" t="str">
        <f t="array" ref="F591">IFERROR(INDEX(PL4_TONG_HOP!$Q$2:$Q$5000,MATCH($C591,PL4_TONG_HOP!$A$2:$A$5000,0)),"")</f>
        <v/>
      </c>
      <c r="G591" s="17">
        <f>COUNTIFS(FILE_UPLOADS!$B:$B,$A591,FILE_UPLOADS!$D:$D,$C591)</f>
        <v>0</v>
      </c>
      <c r="H591" s="17" t="str">
        <f t="shared" si="1"/>
        <v/>
      </c>
    </row>
    <row r="592" ht="15.75" customHeight="1">
      <c r="A592" s="17" t="s">
        <v>339</v>
      </c>
      <c r="B592" s="17" t="s">
        <v>16</v>
      </c>
      <c r="C592" s="17" t="s">
        <v>143</v>
      </c>
      <c r="D592" s="17" t="s">
        <v>144</v>
      </c>
      <c r="E592" s="17" t="s">
        <v>145</v>
      </c>
      <c r="F592" s="17" t="str">
        <f t="array" ref="F592">IFERROR(INDEX(PL4_TONG_HOP!$Q$2:$Q$5000,MATCH($C592,PL4_TONG_HOP!$A$2:$A$5000,0)),"")</f>
        <v/>
      </c>
      <c r="G592" s="17">
        <f>COUNTIFS(FILE_UPLOADS!$B:$B,$A592,FILE_UPLOADS!$D:$D,$C592)</f>
        <v>0</v>
      </c>
      <c r="H592" s="17" t="str">
        <f t="shared" si="1"/>
        <v/>
      </c>
    </row>
    <row r="593" ht="15.75" customHeight="1">
      <c r="A593" s="17" t="s">
        <v>339</v>
      </c>
      <c r="B593" s="17" t="s">
        <v>16</v>
      </c>
      <c r="C593" s="17" t="s">
        <v>149</v>
      </c>
      <c r="D593" s="17" t="s">
        <v>150</v>
      </c>
      <c r="E593" s="17" t="s">
        <v>151</v>
      </c>
      <c r="F593" s="17" t="str">
        <f t="array" ref="F593">IFERROR(INDEX(PL4_TONG_HOP!$Q$2:$Q$5000,MATCH($C593,PL4_TONG_HOP!$A$2:$A$5000,0)),"")</f>
        <v/>
      </c>
      <c r="G593" s="17">
        <f>COUNTIFS(FILE_UPLOADS!$B:$B,$A593,FILE_UPLOADS!$D:$D,$C593)</f>
        <v>0</v>
      </c>
      <c r="H593" s="17" t="str">
        <f t="shared" si="1"/>
        <v/>
      </c>
    </row>
    <row r="594" ht="15.75" customHeight="1">
      <c r="A594" s="17" t="s">
        <v>339</v>
      </c>
      <c r="B594" s="17" t="s">
        <v>16</v>
      </c>
      <c r="C594" s="17" t="s">
        <v>152</v>
      </c>
      <c r="D594" s="17" t="s">
        <v>153</v>
      </c>
      <c r="E594" s="17" t="s">
        <v>154</v>
      </c>
      <c r="F594" s="17" t="str">
        <f t="array" ref="F594">IFERROR(INDEX(PL4_TONG_HOP!$Q$2:$Q$5000,MATCH($C594,PL4_TONG_HOP!$A$2:$A$5000,0)),"")</f>
        <v/>
      </c>
      <c r="G594" s="17">
        <f>COUNTIFS(FILE_UPLOADS!$B:$B,$A594,FILE_UPLOADS!$D:$D,$C594)</f>
        <v>0</v>
      </c>
      <c r="H594" s="17" t="str">
        <f t="shared" si="1"/>
        <v/>
      </c>
    </row>
    <row r="595" ht="15.75" customHeight="1">
      <c r="A595" s="17" t="s">
        <v>339</v>
      </c>
      <c r="B595" s="17" t="s">
        <v>16</v>
      </c>
      <c r="C595" s="17" t="s">
        <v>155</v>
      </c>
      <c r="D595" s="17" t="s">
        <v>156</v>
      </c>
      <c r="E595" s="17" t="s">
        <v>157</v>
      </c>
      <c r="F595" s="17" t="str">
        <f t="array" ref="F595">IFERROR(INDEX(PL4_TONG_HOP!$Q$2:$Q$5000,MATCH($C595,PL4_TONG_HOP!$A$2:$A$5000,0)),"")</f>
        <v/>
      </c>
      <c r="G595" s="17">
        <f>COUNTIFS(FILE_UPLOADS!$B:$B,$A595,FILE_UPLOADS!$D:$D,$C595)</f>
        <v>0</v>
      </c>
      <c r="H595" s="17" t="str">
        <f t="shared" si="1"/>
        <v/>
      </c>
    </row>
    <row r="596" ht="15.75" customHeight="1">
      <c r="A596" s="17" t="s">
        <v>339</v>
      </c>
      <c r="B596" s="17" t="s">
        <v>16</v>
      </c>
      <c r="C596" s="17" t="s">
        <v>161</v>
      </c>
      <c r="D596" s="17" t="s">
        <v>162</v>
      </c>
      <c r="E596" s="17" t="s">
        <v>163</v>
      </c>
      <c r="F596" s="17" t="str">
        <f t="array" ref="F596">IFERROR(INDEX(PL4_TONG_HOP!$Q$2:$Q$5000,MATCH($C596,PL4_TONG_HOP!$A$2:$A$5000,0)),"")</f>
        <v/>
      </c>
      <c r="G596" s="17">
        <f>COUNTIFS(FILE_UPLOADS!$B:$B,$A596,FILE_UPLOADS!$D:$D,$C596)</f>
        <v>0</v>
      </c>
      <c r="H596" s="17" t="str">
        <f t="shared" si="1"/>
        <v/>
      </c>
    </row>
    <row r="597" ht="15.75" customHeight="1">
      <c r="A597" s="17" t="s">
        <v>339</v>
      </c>
      <c r="B597" s="17" t="s">
        <v>16</v>
      </c>
      <c r="C597" s="17" t="s">
        <v>164</v>
      </c>
      <c r="D597" s="17" t="s">
        <v>165</v>
      </c>
      <c r="E597" s="17" t="s">
        <v>166</v>
      </c>
      <c r="F597" s="17" t="str">
        <f t="array" ref="F597">IFERROR(INDEX(PL4_TONG_HOP!$Q$2:$Q$5000,MATCH($C597,PL4_TONG_HOP!$A$2:$A$5000,0)),"")</f>
        <v/>
      </c>
      <c r="G597" s="17">
        <f>COUNTIFS(FILE_UPLOADS!$B:$B,$A597,FILE_UPLOADS!$D:$D,$C597)</f>
        <v>0</v>
      </c>
      <c r="H597" s="17" t="str">
        <f t="shared" si="1"/>
        <v/>
      </c>
    </row>
    <row r="598" ht="15.75" customHeight="1">
      <c r="A598" s="17" t="s">
        <v>339</v>
      </c>
      <c r="B598" s="17" t="s">
        <v>16</v>
      </c>
      <c r="C598" s="17" t="s">
        <v>167</v>
      </c>
      <c r="D598" s="17" t="s">
        <v>168</v>
      </c>
      <c r="E598" s="17" t="s">
        <v>169</v>
      </c>
      <c r="F598" s="17" t="str">
        <f t="array" ref="F598">IFERROR(INDEX(PL4_TONG_HOP!$Q$2:$Q$5000,MATCH($C598,PL4_TONG_HOP!$A$2:$A$5000,0)),"")</f>
        <v/>
      </c>
      <c r="G598" s="17">
        <f>COUNTIFS(FILE_UPLOADS!$B:$B,$A598,FILE_UPLOADS!$D:$D,$C598)</f>
        <v>0</v>
      </c>
      <c r="H598" s="17" t="str">
        <f t="shared" si="1"/>
        <v/>
      </c>
    </row>
    <row r="599" ht="15.75" customHeight="1">
      <c r="A599" s="17" t="s">
        <v>339</v>
      </c>
      <c r="B599" s="17" t="s">
        <v>16</v>
      </c>
      <c r="C599" s="17" t="s">
        <v>173</v>
      </c>
      <c r="D599" s="17" t="s">
        <v>174</v>
      </c>
      <c r="E599" s="17" t="s">
        <v>175</v>
      </c>
      <c r="F599" s="17" t="str">
        <f t="array" ref="F599">IFERROR(INDEX(PL4_TONG_HOP!$Q$2:$Q$5000,MATCH($C599,PL4_TONG_HOP!$A$2:$A$5000,0)),"")</f>
        <v/>
      </c>
      <c r="G599" s="17">
        <f>COUNTIFS(FILE_UPLOADS!$B:$B,$A599,FILE_UPLOADS!$D:$D,$C599)</f>
        <v>0</v>
      </c>
      <c r="H599" s="17" t="str">
        <f t="shared" si="1"/>
        <v/>
      </c>
    </row>
    <row r="600" ht="15.75" customHeight="1">
      <c r="A600" s="17" t="s">
        <v>339</v>
      </c>
      <c r="B600" s="17" t="s">
        <v>16</v>
      </c>
      <c r="C600" s="17" t="s">
        <v>176</v>
      </c>
      <c r="D600" s="17" t="s">
        <v>177</v>
      </c>
      <c r="E600" s="17" t="s">
        <v>178</v>
      </c>
      <c r="F600" s="17" t="str">
        <f t="array" ref="F600">IFERROR(INDEX(PL4_TONG_HOP!$Q$2:$Q$5000,MATCH($C600,PL4_TONG_HOP!$A$2:$A$5000,0)),"")</f>
        <v/>
      </c>
      <c r="G600" s="17">
        <f>COUNTIFS(FILE_UPLOADS!$B:$B,$A600,FILE_UPLOADS!$D:$D,$C600)</f>
        <v>0</v>
      </c>
      <c r="H600" s="17" t="str">
        <f t="shared" si="1"/>
        <v/>
      </c>
    </row>
    <row r="601" ht="15.75" customHeight="1">
      <c r="A601" s="17" t="s">
        <v>339</v>
      </c>
      <c r="B601" s="17" t="s">
        <v>16</v>
      </c>
      <c r="C601" s="17" t="s">
        <v>212</v>
      </c>
      <c r="D601" s="17" t="s">
        <v>213</v>
      </c>
      <c r="E601" s="17" t="s">
        <v>214</v>
      </c>
      <c r="F601" s="17" t="str">
        <f t="array" ref="F601">IFERROR(INDEX(PL4_TONG_HOP!$Q$2:$Q$5000,MATCH($C601,PL4_TONG_HOP!$A$2:$A$5000,0)),"")</f>
        <v/>
      </c>
      <c r="G601" s="17">
        <f>COUNTIFS(FILE_UPLOADS!$B:$B,$A601,FILE_UPLOADS!$D:$D,$C601)</f>
        <v>0</v>
      </c>
      <c r="H601" s="17" t="str">
        <f t="shared" si="1"/>
        <v/>
      </c>
    </row>
    <row r="602" ht="15.75" customHeight="1">
      <c r="A602" s="17" t="s">
        <v>339</v>
      </c>
      <c r="B602" s="17" t="s">
        <v>16</v>
      </c>
      <c r="C602" s="17" t="s">
        <v>215</v>
      </c>
      <c r="D602" s="17" t="s">
        <v>216</v>
      </c>
      <c r="E602" s="17" t="s">
        <v>217</v>
      </c>
      <c r="F602" s="17" t="str">
        <f t="array" ref="F602">IFERROR(INDEX(PL4_TONG_HOP!$Q$2:$Q$5000,MATCH($C602,PL4_TONG_HOP!$A$2:$A$5000,0)),"")</f>
        <v/>
      </c>
      <c r="G602" s="17">
        <f>COUNTIFS(FILE_UPLOADS!$B:$B,$A602,FILE_UPLOADS!$D:$D,$C602)</f>
        <v>0</v>
      </c>
      <c r="H602" s="17" t="str">
        <f t="shared" si="1"/>
        <v/>
      </c>
    </row>
    <row r="603" ht="15.75" customHeight="1">
      <c r="A603" s="17" t="s">
        <v>339</v>
      </c>
      <c r="B603" s="17" t="s">
        <v>16</v>
      </c>
      <c r="C603" s="17" t="s">
        <v>227</v>
      </c>
      <c r="D603" s="17" t="s">
        <v>228</v>
      </c>
      <c r="E603" s="17" t="s">
        <v>229</v>
      </c>
      <c r="F603" s="17" t="str">
        <f t="array" ref="F603">IFERROR(INDEX(PL4_TONG_HOP!$Q$2:$Q$5000,MATCH($C603,PL4_TONG_HOP!$A$2:$A$5000,0)),"")</f>
        <v/>
      </c>
      <c r="G603" s="17">
        <f>COUNTIFS(FILE_UPLOADS!$B:$B,$A603,FILE_UPLOADS!$D:$D,$C603)</f>
        <v>0</v>
      </c>
      <c r="H603" s="17" t="str">
        <f t="shared" si="1"/>
        <v/>
      </c>
    </row>
    <row r="604" ht="15.75" customHeight="1">
      <c r="A604" s="17" t="s">
        <v>339</v>
      </c>
      <c r="B604" s="17" t="s">
        <v>16</v>
      </c>
      <c r="C604" s="17" t="s">
        <v>230</v>
      </c>
      <c r="D604" s="17" t="s">
        <v>231</v>
      </c>
      <c r="E604" s="17" t="s">
        <v>232</v>
      </c>
      <c r="F604" s="17" t="str">
        <f t="array" ref="F604">IFERROR(INDEX(PL4_TONG_HOP!$Q$2:$Q$5000,MATCH($C604,PL4_TONG_HOP!$A$2:$A$5000,0)),"")</f>
        <v/>
      </c>
      <c r="G604" s="17">
        <f>COUNTIFS(FILE_UPLOADS!$B:$B,$A604,FILE_UPLOADS!$D:$D,$C604)</f>
        <v>0</v>
      </c>
      <c r="H604" s="17" t="str">
        <f t="shared" si="1"/>
        <v/>
      </c>
    </row>
    <row r="605" ht="15.75" customHeight="1">
      <c r="A605" s="17" t="s">
        <v>339</v>
      </c>
      <c r="B605" s="17" t="s">
        <v>16</v>
      </c>
      <c r="C605" s="17" t="s">
        <v>236</v>
      </c>
      <c r="D605" s="17" t="s">
        <v>237</v>
      </c>
      <c r="E605" s="17" t="s">
        <v>238</v>
      </c>
      <c r="F605" s="17" t="str">
        <f t="array" ref="F605">IFERROR(INDEX(PL4_TONG_HOP!$Q$2:$Q$5000,MATCH($C605,PL4_TONG_HOP!$A$2:$A$5000,0)),"")</f>
        <v/>
      </c>
      <c r="G605" s="17">
        <f>COUNTIFS(FILE_UPLOADS!$B:$B,$A605,FILE_UPLOADS!$D:$D,$C605)</f>
        <v>0</v>
      </c>
      <c r="H605" s="17" t="str">
        <f t="shared" si="1"/>
        <v/>
      </c>
    </row>
    <row r="606" ht="15.75" customHeight="1">
      <c r="A606" s="17" t="s">
        <v>339</v>
      </c>
      <c r="B606" s="17" t="s">
        <v>16</v>
      </c>
      <c r="C606" s="17" t="s">
        <v>239</v>
      </c>
      <c r="D606" s="17" t="s">
        <v>240</v>
      </c>
      <c r="E606" s="17" t="s">
        <v>241</v>
      </c>
      <c r="F606" s="17" t="str">
        <f t="array" ref="F606">IFERROR(INDEX(PL4_TONG_HOP!$Q$2:$Q$5000,MATCH($C606,PL4_TONG_HOP!$A$2:$A$5000,0)),"")</f>
        <v/>
      </c>
      <c r="G606" s="17">
        <f>COUNTIFS(FILE_UPLOADS!$B:$B,$A606,FILE_UPLOADS!$D:$D,$C606)</f>
        <v>0</v>
      </c>
      <c r="H606" s="17" t="str">
        <f t="shared" si="1"/>
        <v/>
      </c>
    </row>
    <row r="607" ht="15.75" customHeight="1">
      <c r="A607" s="17" t="s">
        <v>339</v>
      </c>
      <c r="B607" s="17" t="s">
        <v>16</v>
      </c>
      <c r="C607" s="17" t="s">
        <v>242</v>
      </c>
      <c r="D607" s="17" t="s">
        <v>243</v>
      </c>
      <c r="E607" s="17" t="s">
        <v>244</v>
      </c>
      <c r="F607" s="17" t="str">
        <f t="array" ref="F607">IFERROR(INDEX(PL4_TONG_HOP!$Q$2:$Q$5000,MATCH($C607,PL4_TONG_HOP!$A$2:$A$5000,0)),"")</f>
        <v/>
      </c>
      <c r="G607" s="17">
        <f>COUNTIFS(FILE_UPLOADS!$B:$B,$A607,FILE_UPLOADS!$D:$D,$C607)</f>
        <v>0</v>
      </c>
      <c r="H607" s="17" t="str">
        <f t="shared" si="1"/>
        <v/>
      </c>
    </row>
    <row r="608" ht="15.75" customHeight="1">
      <c r="A608" s="17" t="s">
        <v>339</v>
      </c>
      <c r="B608" s="17" t="s">
        <v>16</v>
      </c>
      <c r="C608" s="17" t="s">
        <v>248</v>
      </c>
      <c r="D608" s="17" t="s">
        <v>249</v>
      </c>
      <c r="E608" s="17" t="s">
        <v>250</v>
      </c>
      <c r="F608" s="17" t="str">
        <f t="array" ref="F608">IFERROR(INDEX(PL4_TONG_HOP!$Q$2:$Q$5000,MATCH($C608,PL4_TONG_HOP!$A$2:$A$5000,0)),"")</f>
        <v/>
      </c>
      <c r="G608" s="17">
        <f>COUNTIFS(FILE_UPLOADS!$B:$B,$A608,FILE_UPLOADS!$D:$D,$C608)</f>
        <v>0</v>
      </c>
      <c r="H608" s="17" t="str">
        <f t="shared" si="1"/>
        <v/>
      </c>
    </row>
    <row r="609" ht="15.75" customHeight="1">
      <c r="A609" s="17" t="s">
        <v>339</v>
      </c>
      <c r="B609" s="17" t="s">
        <v>16</v>
      </c>
      <c r="C609" s="17" t="s">
        <v>251</v>
      </c>
      <c r="D609" s="17" t="s">
        <v>252</v>
      </c>
      <c r="E609" s="17" t="s">
        <v>253</v>
      </c>
      <c r="F609" s="17" t="str">
        <f t="array" ref="F609">IFERROR(INDEX(PL4_TONG_HOP!$Q$2:$Q$5000,MATCH($C609,PL4_TONG_HOP!$A$2:$A$5000,0)),"")</f>
        <v/>
      </c>
      <c r="G609" s="17">
        <f>COUNTIFS(FILE_UPLOADS!$B:$B,$A609,FILE_UPLOADS!$D:$D,$C609)</f>
        <v>0</v>
      </c>
      <c r="H609" s="17" t="str">
        <f t="shared" si="1"/>
        <v/>
      </c>
    </row>
    <row r="610" ht="15.75" customHeight="1">
      <c r="A610" s="17" t="s">
        <v>339</v>
      </c>
      <c r="B610" s="17" t="s">
        <v>16</v>
      </c>
      <c r="C610" s="17" t="s">
        <v>254</v>
      </c>
      <c r="D610" s="17" t="s">
        <v>255</v>
      </c>
      <c r="E610" s="17" t="s">
        <v>256</v>
      </c>
      <c r="F610" s="17" t="str">
        <f t="array" ref="F610">IFERROR(INDEX(PL4_TONG_HOP!$Q$2:$Q$5000,MATCH($C610,PL4_TONG_HOP!$A$2:$A$5000,0)),"")</f>
        <v/>
      </c>
      <c r="G610" s="17">
        <f>COUNTIFS(FILE_UPLOADS!$B:$B,$A610,FILE_UPLOADS!$D:$D,$C610)</f>
        <v>0</v>
      </c>
      <c r="H610" s="17" t="str">
        <f t="shared" si="1"/>
        <v/>
      </c>
    </row>
    <row r="611" ht="15.75" customHeight="1">
      <c r="A611" s="17" t="s">
        <v>339</v>
      </c>
      <c r="B611" s="17" t="s">
        <v>16</v>
      </c>
      <c r="C611" s="17" t="s">
        <v>260</v>
      </c>
      <c r="D611" s="17" t="s">
        <v>261</v>
      </c>
      <c r="E611" s="17" t="s">
        <v>262</v>
      </c>
      <c r="F611" s="17" t="str">
        <f t="array" ref="F611">IFERROR(INDEX(PL4_TONG_HOP!$Q$2:$Q$5000,MATCH($C611,PL4_TONG_HOP!$A$2:$A$5000,0)),"")</f>
        <v/>
      </c>
      <c r="G611" s="17">
        <f>COUNTIFS(FILE_UPLOADS!$B:$B,$A611,FILE_UPLOADS!$D:$D,$C611)</f>
        <v>0</v>
      </c>
      <c r="H611" s="17" t="str">
        <f t="shared" si="1"/>
        <v/>
      </c>
    </row>
    <row r="612" ht="15.75" customHeight="1">
      <c r="A612" s="17" t="s">
        <v>339</v>
      </c>
      <c r="B612" s="17" t="s">
        <v>16</v>
      </c>
      <c r="C612" s="17" t="s">
        <v>263</v>
      </c>
      <c r="D612" s="17" t="s">
        <v>264</v>
      </c>
      <c r="E612" s="17" t="s">
        <v>265</v>
      </c>
      <c r="F612" s="17" t="str">
        <f t="array" ref="F612">IFERROR(INDEX(PL4_TONG_HOP!$Q$2:$Q$5000,MATCH($C612,PL4_TONG_HOP!$A$2:$A$5000,0)),"")</f>
        <v/>
      </c>
      <c r="G612" s="17">
        <f>COUNTIFS(FILE_UPLOADS!$B:$B,$A612,FILE_UPLOADS!$D:$D,$C612)</f>
        <v>0</v>
      </c>
      <c r="H612" s="17" t="str">
        <f t="shared" si="1"/>
        <v/>
      </c>
    </row>
    <row r="613" ht="15.75" customHeight="1">
      <c r="A613" s="17" t="s">
        <v>339</v>
      </c>
      <c r="B613" s="17" t="s">
        <v>16</v>
      </c>
      <c r="C613" s="17" t="s">
        <v>266</v>
      </c>
      <c r="D613" s="17" t="s">
        <v>267</v>
      </c>
      <c r="E613" s="17" t="s">
        <v>268</v>
      </c>
      <c r="F613" s="17" t="str">
        <f t="array" ref="F613">IFERROR(INDEX(PL4_TONG_HOP!$Q$2:$Q$5000,MATCH($C613,PL4_TONG_HOP!$A$2:$A$5000,0)),"")</f>
        <v/>
      </c>
      <c r="G613" s="17">
        <f>COUNTIFS(FILE_UPLOADS!$B:$B,$A613,FILE_UPLOADS!$D:$D,$C613)</f>
        <v>0</v>
      </c>
      <c r="H613" s="17" t="str">
        <f t="shared" si="1"/>
        <v/>
      </c>
    </row>
    <row r="614" ht="15.75" customHeight="1">
      <c r="A614" s="17" t="s">
        <v>339</v>
      </c>
      <c r="B614" s="17" t="s">
        <v>16</v>
      </c>
      <c r="C614" s="17" t="s">
        <v>269</v>
      </c>
      <c r="D614" s="17" t="s">
        <v>270</v>
      </c>
      <c r="E614" s="17" t="s">
        <v>271</v>
      </c>
      <c r="F614" s="17" t="str">
        <f t="array" ref="F614">IFERROR(INDEX(PL4_TONG_HOP!$Q$2:$Q$5000,MATCH($C614,PL4_TONG_HOP!$A$2:$A$5000,0)),"")</f>
        <v/>
      </c>
      <c r="G614" s="17">
        <f>COUNTIFS(FILE_UPLOADS!$B:$B,$A614,FILE_UPLOADS!$D:$D,$C614)</f>
        <v>0</v>
      </c>
      <c r="H614" s="17" t="str">
        <f t="shared" si="1"/>
        <v/>
      </c>
    </row>
    <row r="615" ht="15.75" customHeight="1">
      <c r="A615" s="17" t="s">
        <v>339</v>
      </c>
      <c r="B615" s="17" t="s">
        <v>16</v>
      </c>
      <c r="C615" s="17" t="s">
        <v>272</v>
      </c>
      <c r="D615" s="17" t="s">
        <v>273</v>
      </c>
      <c r="E615" s="17" t="s">
        <v>274</v>
      </c>
      <c r="F615" s="17" t="str">
        <f t="array" ref="F615">IFERROR(INDEX(PL4_TONG_HOP!$Q$2:$Q$5000,MATCH($C615,PL4_TONG_HOP!$A$2:$A$5000,0)),"")</f>
        <v/>
      </c>
      <c r="G615" s="17">
        <f>COUNTIFS(FILE_UPLOADS!$B:$B,$A615,FILE_UPLOADS!$D:$D,$C615)</f>
        <v>0</v>
      </c>
      <c r="H615" s="17" t="str">
        <f t="shared" si="1"/>
        <v/>
      </c>
    </row>
    <row r="616" ht="15.75" customHeight="1">
      <c r="A616" s="17" t="s">
        <v>339</v>
      </c>
      <c r="B616" s="17" t="s">
        <v>16</v>
      </c>
      <c r="C616" s="17" t="s">
        <v>275</v>
      </c>
      <c r="D616" s="17" t="s">
        <v>276</v>
      </c>
      <c r="E616" s="17" t="s">
        <v>277</v>
      </c>
      <c r="F616" s="17" t="str">
        <f t="array" ref="F616">IFERROR(INDEX(PL4_TONG_HOP!$Q$2:$Q$5000,MATCH($C616,PL4_TONG_HOP!$A$2:$A$5000,0)),"")</f>
        <v/>
      </c>
      <c r="G616" s="17">
        <f>COUNTIFS(FILE_UPLOADS!$B:$B,$A616,FILE_UPLOADS!$D:$D,$C616)</f>
        <v>0</v>
      </c>
      <c r="H616" s="17" t="str">
        <f t="shared" si="1"/>
        <v/>
      </c>
    </row>
    <row r="617" ht="15.75" customHeight="1">
      <c r="A617" s="17" t="s">
        <v>339</v>
      </c>
      <c r="B617" s="17" t="s">
        <v>16</v>
      </c>
      <c r="C617" s="17" t="s">
        <v>278</v>
      </c>
      <c r="D617" s="17" t="s">
        <v>279</v>
      </c>
      <c r="E617" s="17" t="s">
        <v>280</v>
      </c>
      <c r="F617" s="17" t="str">
        <f t="array" ref="F617">IFERROR(INDEX(PL4_TONG_HOP!$Q$2:$Q$5000,MATCH($C617,PL4_TONG_HOP!$A$2:$A$5000,0)),"")</f>
        <v/>
      </c>
      <c r="G617" s="17">
        <f>COUNTIFS(FILE_UPLOADS!$B:$B,$A617,FILE_UPLOADS!$D:$D,$C617)</f>
        <v>0</v>
      </c>
      <c r="H617" s="17" t="str">
        <f t="shared" si="1"/>
        <v/>
      </c>
    </row>
    <row r="618" ht="15.75" customHeight="1">
      <c r="A618" s="17" t="s">
        <v>339</v>
      </c>
      <c r="B618" s="17" t="s">
        <v>16</v>
      </c>
      <c r="C618" s="17" t="s">
        <v>281</v>
      </c>
      <c r="D618" s="17" t="s">
        <v>282</v>
      </c>
      <c r="E618" s="17" t="s">
        <v>283</v>
      </c>
      <c r="F618" s="17" t="str">
        <f t="array" ref="F618">IFERROR(INDEX(PL4_TONG_HOP!$Q$2:$Q$5000,MATCH($C618,PL4_TONG_HOP!$A$2:$A$5000,0)),"")</f>
        <v/>
      </c>
      <c r="G618" s="17">
        <f>COUNTIFS(FILE_UPLOADS!$B:$B,$A618,FILE_UPLOADS!$D:$D,$C618)</f>
        <v>0</v>
      </c>
      <c r="H618" s="17" t="str">
        <f t="shared" si="1"/>
        <v/>
      </c>
    </row>
    <row r="619" ht="15.75" customHeight="1">
      <c r="A619" s="17" t="s">
        <v>339</v>
      </c>
      <c r="B619" s="17" t="s">
        <v>16</v>
      </c>
      <c r="C619" s="17" t="s">
        <v>290</v>
      </c>
      <c r="D619" s="17" t="s">
        <v>291</v>
      </c>
      <c r="E619" s="17" t="s">
        <v>292</v>
      </c>
      <c r="F619" s="17" t="str">
        <f t="array" ref="F619">IFERROR(INDEX(PL4_TONG_HOP!$Q$2:$Q$5000,MATCH($C619,PL4_TONG_HOP!$A$2:$A$5000,0)),"")</f>
        <v/>
      </c>
      <c r="G619" s="17">
        <f>COUNTIFS(FILE_UPLOADS!$B:$B,$A619,FILE_UPLOADS!$D:$D,$C619)</f>
        <v>0</v>
      </c>
      <c r="H619" s="17" t="str">
        <f t="shared" si="1"/>
        <v/>
      </c>
    </row>
    <row r="620" ht="15.75" customHeight="1">
      <c r="A620" s="17" t="s">
        <v>339</v>
      </c>
      <c r="B620" s="17" t="s">
        <v>16</v>
      </c>
      <c r="C620" s="17" t="s">
        <v>293</v>
      </c>
      <c r="D620" s="17" t="s">
        <v>294</v>
      </c>
      <c r="E620" s="17" t="s">
        <v>295</v>
      </c>
      <c r="F620" s="17" t="str">
        <f t="array" ref="F620">IFERROR(INDEX(PL4_TONG_HOP!$Q$2:$Q$5000,MATCH($C620,PL4_TONG_HOP!$A$2:$A$5000,0)),"")</f>
        <v/>
      </c>
      <c r="G620" s="17">
        <f>COUNTIFS(FILE_UPLOADS!$B:$B,$A620,FILE_UPLOADS!$D:$D,$C620)</f>
        <v>0</v>
      </c>
      <c r="H620" s="17" t="str">
        <f t="shared" si="1"/>
        <v/>
      </c>
    </row>
    <row r="621" ht="15.75" customHeight="1">
      <c r="A621" s="17" t="s">
        <v>339</v>
      </c>
      <c r="B621" s="17" t="s">
        <v>16</v>
      </c>
      <c r="C621" s="17" t="s">
        <v>299</v>
      </c>
      <c r="D621" s="17" t="s">
        <v>300</v>
      </c>
      <c r="E621" s="17" t="s">
        <v>301</v>
      </c>
      <c r="F621" s="17" t="str">
        <f t="array" ref="F621">IFERROR(INDEX(PL4_TONG_HOP!$Q$2:$Q$5000,MATCH($C621,PL4_TONG_HOP!$A$2:$A$5000,0)),"")</f>
        <v/>
      </c>
      <c r="G621" s="17">
        <f>COUNTIFS(FILE_UPLOADS!$B:$B,$A621,FILE_UPLOADS!$D:$D,$C621)</f>
        <v>0</v>
      </c>
      <c r="H621" s="17" t="str">
        <f t="shared" si="1"/>
        <v/>
      </c>
    </row>
    <row r="622" ht="15.75" customHeight="1">
      <c r="A622" s="17" t="s">
        <v>339</v>
      </c>
      <c r="B622" s="17" t="s">
        <v>16</v>
      </c>
      <c r="C622" s="17" t="s">
        <v>302</v>
      </c>
      <c r="D622" s="17" t="s">
        <v>303</v>
      </c>
      <c r="E622" s="17" t="s">
        <v>304</v>
      </c>
      <c r="F622" s="17" t="str">
        <f t="array" ref="F622">IFERROR(INDEX(PL4_TONG_HOP!$Q$2:$Q$5000,MATCH($C622,PL4_TONG_HOP!$A$2:$A$5000,0)),"")</f>
        <v/>
      </c>
      <c r="G622" s="17">
        <f>COUNTIFS(FILE_UPLOADS!$B:$B,$A622,FILE_UPLOADS!$D:$D,$C622)</f>
        <v>0</v>
      </c>
      <c r="H622" s="17" t="str">
        <f t="shared" si="1"/>
        <v/>
      </c>
    </row>
    <row r="623" ht="15.75" customHeight="1">
      <c r="A623" s="17" t="s">
        <v>339</v>
      </c>
      <c r="B623" s="17" t="s">
        <v>16</v>
      </c>
      <c r="C623" s="17" t="s">
        <v>308</v>
      </c>
      <c r="D623" s="17" t="s">
        <v>309</v>
      </c>
      <c r="E623" s="17" t="s">
        <v>310</v>
      </c>
      <c r="F623" s="17" t="str">
        <f t="array" ref="F623">IFERROR(INDEX(PL4_TONG_HOP!$Q$2:$Q$5000,MATCH($C623,PL4_TONG_HOP!$A$2:$A$5000,0)),"")</f>
        <v/>
      </c>
      <c r="G623" s="17">
        <f>COUNTIFS(FILE_UPLOADS!$B:$B,$A623,FILE_UPLOADS!$D:$D,$C623)</f>
        <v>0</v>
      </c>
      <c r="H623" s="17" t="str">
        <f t="shared" si="1"/>
        <v/>
      </c>
    </row>
    <row r="624" ht="15.75" customHeight="1">
      <c r="A624" s="17" t="s">
        <v>339</v>
      </c>
      <c r="B624" s="17" t="s">
        <v>16</v>
      </c>
      <c r="C624" s="17" t="s">
        <v>311</v>
      </c>
      <c r="D624" s="17" t="s">
        <v>312</v>
      </c>
      <c r="E624" s="17" t="s">
        <v>313</v>
      </c>
      <c r="F624" s="17" t="str">
        <f t="array" ref="F624">IFERROR(INDEX(PL4_TONG_HOP!$Q$2:$Q$5000,MATCH($C624,PL4_TONG_HOP!$A$2:$A$5000,0)),"")</f>
        <v/>
      </c>
      <c r="G624" s="17">
        <f>COUNTIFS(FILE_UPLOADS!$B:$B,$A624,FILE_UPLOADS!$D:$D,$C624)</f>
        <v>0</v>
      </c>
      <c r="H624" s="17" t="str">
        <f t="shared" si="1"/>
        <v/>
      </c>
    </row>
    <row r="625" ht="15.75" customHeight="1">
      <c r="A625" s="17" t="s">
        <v>339</v>
      </c>
      <c r="B625" s="17" t="s">
        <v>16</v>
      </c>
      <c r="C625" s="17" t="s">
        <v>314</v>
      </c>
      <c r="D625" s="17" t="s">
        <v>315</v>
      </c>
      <c r="E625" s="17" t="s">
        <v>316</v>
      </c>
      <c r="F625" s="17" t="str">
        <f t="array" ref="F625">IFERROR(INDEX(PL4_TONG_HOP!$Q$2:$Q$5000,MATCH($C625,PL4_TONG_HOP!$A$2:$A$5000,0)),"")</f>
        <v/>
      </c>
      <c r="G625" s="17">
        <f>COUNTIFS(FILE_UPLOADS!$B:$B,$A625,FILE_UPLOADS!$D:$D,$C625)</f>
        <v>0</v>
      </c>
      <c r="H625" s="17" t="str">
        <f t="shared" si="1"/>
        <v/>
      </c>
    </row>
    <row r="626" ht="15.75" customHeight="1">
      <c r="A626" s="17" t="s">
        <v>340</v>
      </c>
      <c r="B626" s="17" t="s">
        <v>17</v>
      </c>
      <c r="C626" s="17" t="s">
        <v>46</v>
      </c>
      <c r="D626" s="17" t="s">
        <v>47</v>
      </c>
      <c r="E626" s="17" t="s">
        <v>48</v>
      </c>
      <c r="F626" s="17" t="str">
        <f t="array" ref="F626">IFERROR(INDEX(PL4_TONG_HOP!$R$2:$R$5000,MATCH($C626,PL4_TONG_HOP!$A$2:$A$5000,0)),"")</f>
        <v>dsfds</v>
      </c>
      <c r="G626" s="17">
        <f>COUNTIFS(FILE_UPLOADS!$B:$B,$A626,FILE_UPLOADS!$D:$D,$C626)</f>
        <v>1</v>
      </c>
      <c r="H626" s="17" t="str">
        <f t="shared" si="1"/>
        <v>Đã có minh chứng</v>
      </c>
    </row>
    <row r="627" ht="15.75" customHeight="1">
      <c r="A627" s="17" t="s">
        <v>340</v>
      </c>
      <c r="B627" s="17" t="s">
        <v>17</v>
      </c>
      <c r="C627" s="17" t="s">
        <v>78</v>
      </c>
      <c r="D627" s="17" t="s">
        <v>79</v>
      </c>
      <c r="E627" s="17" t="s">
        <v>80</v>
      </c>
      <c r="F627" s="17" t="str">
        <f t="array" ref="F627">IFERROR(INDEX(PL4_TONG_HOP!$R$2:$R$5000,MATCH($C627,PL4_TONG_HOP!$A$2:$A$5000,0)),"")</f>
        <v/>
      </c>
      <c r="G627" s="17">
        <f>COUNTIFS(FILE_UPLOADS!$B:$B,$A627,FILE_UPLOADS!$D:$D,$C627)</f>
        <v>0</v>
      </c>
      <c r="H627" s="17" t="str">
        <f t="shared" si="1"/>
        <v/>
      </c>
    </row>
    <row r="628" ht="15.75" customHeight="1">
      <c r="A628" s="17" t="s">
        <v>340</v>
      </c>
      <c r="B628" s="17" t="s">
        <v>17</v>
      </c>
      <c r="C628" s="17" t="s">
        <v>81</v>
      </c>
      <c r="D628" s="17" t="s">
        <v>82</v>
      </c>
      <c r="E628" s="17" t="s">
        <v>83</v>
      </c>
      <c r="F628" s="17" t="str">
        <f t="array" ref="F628">IFERROR(INDEX(PL4_TONG_HOP!$R$2:$R$5000,MATCH($C628,PL4_TONG_HOP!$A$2:$A$5000,0)),"")</f>
        <v/>
      </c>
      <c r="G628" s="17">
        <f>COUNTIFS(FILE_UPLOADS!$B:$B,$A628,FILE_UPLOADS!$D:$D,$C628)</f>
        <v>0</v>
      </c>
      <c r="H628" s="17" t="str">
        <f t="shared" si="1"/>
        <v/>
      </c>
    </row>
    <row r="629" ht="15.75" customHeight="1">
      <c r="A629" s="17" t="s">
        <v>340</v>
      </c>
      <c r="B629" s="17" t="s">
        <v>17</v>
      </c>
      <c r="C629" s="17" t="s">
        <v>87</v>
      </c>
      <c r="D629" s="17" t="s">
        <v>88</v>
      </c>
      <c r="E629" s="17" t="s">
        <v>89</v>
      </c>
      <c r="F629" s="17" t="str">
        <f t="array" ref="F629">IFERROR(INDEX(PL4_TONG_HOP!$R$2:$R$5000,MATCH($C629,PL4_TONG_HOP!$A$2:$A$5000,0)),"")</f>
        <v/>
      </c>
      <c r="G629" s="17">
        <f>COUNTIFS(FILE_UPLOADS!$B:$B,$A629,FILE_UPLOADS!$D:$D,$C629)</f>
        <v>0</v>
      </c>
      <c r="H629" s="17" t="str">
        <f t="shared" si="1"/>
        <v/>
      </c>
    </row>
    <row r="630" ht="15.75" customHeight="1">
      <c r="A630" s="17" t="s">
        <v>340</v>
      </c>
      <c r="B630" s="17" t="s">
        <v>17</v>
      </c>
      <c r="C630" s="17" t="s">
        <v>90</v>
      </c>
      <c r="D630" s="17" t="s">
        <v>91</v>
      </c>
      <c r="E630" s="17" t="s">
        <v>92</v>
      </c>
      <c r="F630" s="17" t="str">
        <f t="array" ref="F630">IFERROR(INDEX(PL4_TONG_HOP!$R$2:$R$5000,MATCH($C630,PL4_TONG_HOP!$A$2:$A$5000,0)),"")</f>
        <v/>
      </c>
      <c r="G630" s="17">
        <f>COUNTIFS(FILE_UPLOADS!$B:$B,$A630,FILE_UPLOADS!$D:$D,$C630)</f>
        <v>0</v>
      </c>
      <c r="H630" s="17" t="str">
        <f t="shared" si="1"/>
        <v/>
      </c>
    </row>
    <row r="631" ht="15.75" customHeight="1">
      <c r="A631" s="17" t="s">
        <v>340</v>
      </c>
      <c r="B631" s="17" t="s">
        <v>17</v>
      </c>
      <c r="C631" s="17" t="s">
        <v>93</v>
      </c>
      <c r="D631" s="17" t="s">
        <v>85</v>
      </c>
      <c r="E631" s="17" t="s">
        <v>94</v>
      </c>
      <c r="F631" s="17" t="str">
        <f t="array" ref="F631">IFERROR(INDEX(PL4_TONG_HOP!$R$2:$R$5000,MATCH($C631,PL4_TONG_HOP!$A$2:$A$5000,0)),"")</f>
        <v/>
      </c>
      <c r="G631" s="17">
        <f>COUNTIFS(FILE_UPLOADS!$B:$B,$A631,FILE_UPLOADS!$D:$D,$C631)</f>
        <v>0</v>
      </c>
      <c r="H631" s="17" t="str">
        <f t="shared" si="1"/>
        <v/>
      </c>
    </row>
    <row r="632" ht="15.75" customHeight="1">
      <c r="A632" s="17" t="s">
        <v>340</v>
      </c>
      <c r="B632" s="17" t="s">
        <v>17</v>
      </c>
      <c r="C632" s="17" t="s">
        <v>95</v>
      </c>
      <c r="D632" s="17" t="s">
        <v>96</v>
      </c>
      <c r="E632" s="17" t="s">
        <v>97</v>
      </c>
      <c r="F632" s="17" t="str">
        <f t="array" ref="F632">IFERROR(INDEX(PL4_TONG_HOP!$R$2:$R$5000,MATCH($C632,PL4_TONG_HOP!$A$2:$A$5000,0)),"")</f>
        <v/>
      </c>
      <c r="G632" s="17">
        <f>COUNTIFS(FILE_UPLOADS!$B:$B,$A632,FILE_UPLOADS!$D:$D,$C632)</f>
        <v>0</v>
      </c>
      <c r="H632" s="17" t="str">
        <f t="shared" si="1"/>
        <v/>
      </c>
    </row>
    <row r="633" ht="15.75" customHeight="1">
      <c r="A633" s="17" t="s">
        <v>340</v>
      </c>
      <c r="B633" s="17" t="s">
        <v>17</v>
      </c>
      <c r="C633" s="17" t="s">
        <v>98</v>
      </c>
      <c r="D633" s="17" t="s">
        <v>99</v>
      </c>
      <c r="E633" s="17" t="s">
        <v>100</v>
      </c>
      <c r="F633" s="17" t="str">
        <f t="array" ref="F633">IFERROR(INDEX(PL4_TONG_HOP!$R$2:$R$5000,MATCH($C633,PL4_TONG_HOP!$A$2:$A$5000,0)),"")</f>
        <v/>
      </c>
      <c r="G633" s="17">
        <f>COUNTIFS(FILE_UPLOADS!$B:$B,$A633,FILE_UPLOADS!$D:$D,$C633)</f>
        <v>0</v>
      </c>
      <c r="H633" s="17" t="str">
        <f t="shared" si="1"/>
        <v/>
      </c>
    </row>
    <row r="634" ht="15.75" customHeight="1">
      <c r="A634" s="17" t="s">
        <v>340</v>
      </c>
      <c r="B634" s="17" t="s">
        <v>17</v>
      </c>
      <c r="C634" s="17" t="s">
        <v>101</v>
      </c>
      <c r="D634" s="17" t="s">
        <v>102</v>
      </c>
      <c r="E634" s="17" t="s">
        <v>103</v>
      </c>
      <c r="F634" s="17" t="str">
        <f t="array" ref="F634">IFERROR(INDEX(PL4_TONG_HOP!$R$2:$R$5000,MATCH($C634,PL4_TONG_HOP!$A$2:$A$5000,0)),"")</f>
        <v/>
      </c>
      <c r="G634" s="17">
        <f>COUNTIFS(FILE_UPLOADS!$B:$B,$A634,FILE_UPLOADS!$D:$D,$C634)</f>
        <v>0</v>
      </c>
      <c r="H634" s="17" t="str">
        <f t="shared" si="1"/>
        <v/>
      </c>
    </row>
    <row r="635" ht="15.75" customHeight="1">
      <c r="A635" s="17" t="s">
        <v>340</v>
      </c>
      <c r="B635" s="17" t="s">
        <v>17</v>
      </c>
      <c r="C635" s="17" t="s">
        <v>113</v>
      </c>
      <c r="D635" s="17" t="s">
        <v>114</v>
      </c>
      <c r="E635" s="17" t="s">
        <v>115</v>
      </c>
      <c r="F635" s="17" t="str">
        <f t="array" ref="F635">IFERROR(INDEX(PL4_TONG_HOP!$R$2:$R$5000,MATCH($C635,PL4_TONG_HOP!$A$2:$A$5000,0)),"")</f>
        <v/>
      </c>
      <c r="G635" s="17">
        <f>COUNTIFS(FILE_UPLOADS!$B:$B,$A635,FILE_UPLOADS!$D:$D,$C635)</f>
        <v>0</v>
      </c>
      <c r="H635" s="17" t="str">
        <f t="shared" si="1"/>
        <v/>
      </c>
    </row>
    <row r="636" ht="15.75" customHeight="1">
      <c r="A636" s="17" t="s">
        <v>340</v>
      </c>
      <c r="B636" s="17" t="s">
        <v>17</v>
      </c>
      <c r="C636" s="17" t="s">
        <v>116</v>
      </c>
      <c r="D636" s="17" t="s">
        <v>117</v>
      </c>
      <c r="E636" s="17" t="s">
        <v>118</v>
      </c>
      <c r="F636" s="17" t="str">
        <f t="array" ref="F636">IFERROR(INDEX(PL4_TONG_HOP!$R$2:$R$5000,MATCH($C636,PL4_TONG_HOP!$A$2:$A$5000,0)),"")</f>
        <v/>
      </c>
      <c r="G636" s="17">
        <f>COUNTIFS(FILE_UPLOADS!$B:$B,$A636,FILE_UPLOADS!$D:$D,$C636)</f>
        <v>0</v>
      </c>
      <c r="H636" s="17" t="str">
        <f t="shared" si="1"/>
        <v/>
      </c>
    </row>
    <row r="637" ht="15.75" customHeight="1">
      <c r="A637" s="17" t="s">
        <v>340</v>
      </c>
      <c r="B637" s="17" t="s">
        <v>17</v>
      </c>
      <c r="C637" s="17" t="s">
        <v>119</v>
      </c>
      <c r="D637" s="17" t="s">
        <v>120</v>
      </c>
      <c r="E637" s="17" t="s">
        <v>121</v>
      </c>
      <c r="F637" s="17" t="str">
        <f t="array" ref="F637">IFERROR(INDEX(PL4_TONG_HOP!$R$2:$R$5000,MATCH($C637,PL4_TONG_HOP!$A$2:$A$5000,0)),"")</f>
        <v/>
      </c>
      <c r="G637" s="17">
        <f>COUNTIFS(FILE_UPLOADS!$B:$B,$A637,FILE_UPLOADS!$D:$D,$C637)</f>
        <v>0</v>
      </c>
      <c r="H637" s="17" t="str">
        <f t="shared" si="1"/>
        <v/>
      </c>
    </row>
    <row r="638" ht="15.75" customHeight="1">
      <c r="A638" s="17" t="s">
        <v>340</v>
      </c>
      <c r="B638" s="17" t="s">
        <v>17</v>
      </c>
      <c r="C638" s="17" t="s">
        <v>122</v>
      </c>
      <c r="D638" s="17" t="s">
        <v>123</v>
      </c>
      <c r="E638" s="17" t="s">
        <v>124</v>
      </c>
      <c r="F638" s="17" t="str">
        <f t="array" ref="F638">IFERROR(INDEX(PL4_TONG_HOP!$R$2:$R$5000,MATCH($C638,PL4_TONG_HOP!$A$2:$A$5000,0)),"")</f>
        <v/>
      </c>
      <c r="G638" s="17">
        <f>COUNTIFS(FILE_UPLOADS!$B:$B,$A638,FILE_UPLOADS!$D:$D,$C638)</f>
        <v>0</v>
      </c>
      <c r="H638" s="17" t="str">
        <f t="shared" si="1"/>
        <v/>
      </c>
    </row>
    <row r="639" ht="15.75" customHeight="1">
      <c r="A639" s="17" t="s">
        <v>340</v>
      </c>
      <c r="B639" s="17" t="s">
        <v>17</v>
      </c>
      <c r="C639" s="17" t="s">
        <v>125</v>
      </c>
      <c r="D639" s="17" t="s">
        <v>126</v>
      </c>
      <c r="E639" s="17" t="s">
        <v>127</v>
      </c>
      <c r="F639" s="17" t="str">
        <f t="array" ref="F639">IFERROR(INDEX(PL4_TONG_HOP!$R$2:$R$5000,MATCH($C639,PL4_TONG_HOP!$A$2:$A$5000,0)),"")</f>
        <v/>
      </c>
      <c r="G639" s="17">
        <f>COUNTIFS(FILE_UPLOADS!$B:$B,$A639,FILE_UPLOADS!$D:$D,$C639)</f>
        <v>0</v>
      </c>
      <c r="H639" s="17" t="str">
        <f t="shared" si="1"/>
        <v/>
      </c>
    </row>
    <row r="640" ht="15.75" customHeight="1">
      <c r="A640" s="17" t="s">
        <v>340</v>
      </c>
      <c r="B640" s="17" t="s">
        <v>17</v>
      </c>
      <c r="C640" s="17" t="s">
        <v>128</v>
      </c>
      <c r="D640" s="17" t="s">
        <v>129</v>
      </c>
      <c r="E640" s="17" t="s">
        <v>130</v>
      </c>
      <c r="F640" s="17" t="str">
        <f t="array" ref="F640">IFERROR(INDEX(PL4_TONG_HOP!$R$2:$R$5000,MATCH($C640,PL4_TONG_HOP!$A$2:$A$5000,0)),"")</f>
        <v/>
      </c>
      <c r="G640" s="17">
        <f>COUNTIFS(FILE_UPLOADS!$B:$B,$A640,FILE_UPLOADS!$D:$D,$C640)</f>
        <v>0</v>
      </c>
      <c r="H640" s="17" t="str">
        <f t="shared" si="1"/>
        <v/>
      </c>
    </row>
    <row r="641" ht="15.75" customHeight="1">
      <c r="A641" s="17" t="s">
        <v>340</v>
      </c>
      <c r="B641" s="17" t="s">
        <v>17</v>
      </c>
      <c r="C641" s="17" t="s">
        <v>131</v>
      </c>
      <c r="D641" s="17" t="s">
        <v>132</v>
      </c>
      <c r="E641" s="17" t="s">
        <v>133</v>
      </c>
      <c r="F641" s="17" t="str">
        <f t="array" ref="F641">IFERROR(INDEX(PL4_TONG_HOP!$R$2:$R$5000,MATCH($C641,PL4_TONG_HOP!$A$2:$A$5000,0)),"")</f>
        <v/>
      </c>
      <c r="G641" s="17">
        <f>COUNTIFS(FILE_UPLOADS!$B:$B,$A641,FILE_UPLOADS!$D:$D,$C641)</f>
        <v>0</v>
      </c>
      <c r="H641" s="17" t="str">
        <f t="shared" si="1"/>
        <v/>
      </c>
    </row>
    <row r="642" ht="15.75" customHeight="1">
      <c r="A642" s="17" t="s">
        <v>340</v>
      </c>
      <c r="B642" s="17" t="s">
        <v>17</v>
      </c>
      <c r="C642" s="17" t="s">
        <v>134</v>
      </c>
      <c r="D642" s="17" t="s">
        <v>135</v>
      </c>
      <c r="E642" s="17" t="s">
        <v>136</v>
      </c>
      <c r="F642" s="17" t="str">
        <f t="array" ref="F642">IFERROR(INDEX(PL4_TONG_HOP!$R$2:$R$5000,MATCH($C642,PL4_TONG_HOP!$A$2:$A$5000,0)),"")</f>
        <v/>
      </c>
      <c r="G642" s="17">
        <f>COUNTIFS(FILE_UPLOADS!$B:$B,$A642,FILE_UPLOADS!$D:$D,$C642)</f>
        <v>0</v>
      </c>
      <c r="H642" s="17" t="str">
        <f t="shared" si="1"/>
        <v/>
      </c>
    </row>
    <row r="643" ht="15.75" customHeight="1">
      <c r="A643" s="17" t="s">
        <v>340</v>
      </c>
      <c r="B643" s="17" t="s">
        <v>17</v>
      </c>
      <c r="C643" s="17" t="s">
        <v>140</v>
      </c>
      <c r="D643" s="17" t="s">
        <v>141</v>
      </c>
      <c r="E643" s="17" t="s">
        <v>142</v>
      </c>
      <c r="F643" s="17" t="str">
        <f t="array" ref="F643">IFERROR(INDEX(PL4_TONG_HOP!$R$2:$R$5000,MATCH($C643,PL4_TONG_HOP!$A$2:$A$5000,0)),"")</f>
        <v/>
      </c>
      <c r="G643" s="17">
        <f>COUNTIFS(FILE_UPLOADS!$B:$B,$A643,FILE_UPLOADS!$D:$D,$C643)</f>
        <v>0</v>
      </c>
      <c r="H643" s="17" t="str">
        <f t="shared" si="1"/>
        <v/>
      </c>
    </row>
    <row r="644" ht="15.75" customHeight="1">
      <c r="A644" s="17" t="s">
        <v>340</v>
      </c>
      <c r="B644" s="17" t="s">
        <v>17</v>
      </c>
      <c r="C644" s="17" t="s">
        <v>143</v>
      </c>
      <c r="D644" s="17" t="s">
        <v>144</v>
      </c>
      <c r="E644" s="17" t="s">
        <v>145</v>
      </c>
      <c r="F644" s="17" t="str">
        <f t="array" ref="F644">IFERROR(INDEX(PL4_TONG_HOP!$R$2:$R$5000,MATCH($C644,PL4_TONG_HOP!$A$2:$A$5000,0)),"")</f>
        <v/>
      </c>
      <c r="G644" s="17">
        <f>COUNTIFS(FILE_UPLOADS!$B:$B,$A644,FILE_UPLOADS!$D:$D,$C644)</f>
        <v>0</v>
      </c>
      <c r="H644" s="17" t="str">
        <f t="shared" si="1"/>
        <v/>
      </c>
    </row>
    <row r="645" ht="15.75" customHeight="1">
      <c r="A645" s="17" t="s">
        <v>340</v>
      </c>
      <c r="B645" s="17" t="s">
        <v>17</v>
      </c>
      <c r="C645" s="17" t="s">
        <v>149</v>
      </c>
      <c r="D645" s="17" t="s">
        <v>150</v>
      </c>
      <c r="E645" s="17" t="s">
        <v>151</v>
      </c>
      <c r="F645" s="17" t="str">
        <f t="array" ref="F645">IFERROR(INDEX(PL4_TONG_HOP!$R$2:$R$5000,MATCH($C645,PL4_TONG_HOP!$A$2:$A$5000,0)),"")</f>
        <v/>
      </c>
      <c r="G645" s="17">
        <f>COUNTIFS(FILE_UPLOADS!$B:$B,$A645,FILE_UPLOADS!$D:$D,$C645)</f>
        <v>0</v>
      </c>
      <c r="H645" s="17" t="str">
        <f t="shared" si="1"/>
        <v/>
      </c>
    </row>
    <row r="646" ht="15.75" customHeight="1">
      <c r="A646" s="17" t="s">
        <v>340</v>
      </c>
      <c r="B646" s="17" t="s">
        <v>17</v>
      </c>
      <c r="C646" s="17" t="s">
        <v>152</v>
      </c>
      <c r="D646" s="17" t="s">
        <v>153</v>
      </c>
      <c r="E646" s="17" t="s">
        <v>154</v>
      </c>
      <c r="F646" s="17" t="str">
        <f t="array" ref="F646">IFERROR(INDEX(PL4_TONG_HOP!$R$2:$R$5000,MATCH($C646,PL4_TONG_HOP!$A$2:$A$5000,0)),"")</f>
        <v/>
      </c>
      <c r="G646" s="17">
        <f>COUNTIFS(FILE_UPLOADS!$B:$B,$A646,FILE_UPLOADS!$D:$D,$C646)</f>
        <v>0</v>
      </c>
      <c r="H646" s="17" t="str">
        <f t="shared" si="1"/>
        <v/>
      </c>
    </row>
    <row r="647" ht="15.75" customHeight="1">
      <c r="A647" s="17" t="s">
        <v>340</v>
      </c>
      <c r="B647" s="17" t="s">
        <v>17</v>
      </c>
      <c r="C647" s="17" t="s">
        <v>155</v>
      </c>
      <c r="D647" s="17" t="s">
        <v>156</v>
      </c>
      <c r="E647" s="17" t="s">
        <v>157</v>
      </c>
      <c r="F647" s="17" t="str">
        <f t="array" ref="F647">IFERROR(INDEX(PL4_TONG_HOP!$R$2:$R$5000,MATCH($C647,PL4_TONG_HOP!$A$2:$A$5000,0)),"")</f>
        <v/>
      </c>
      <c r="G647" s="17">
        <f>COUNTIFS(FILE_UPLOADS!$B:$B,$A647,FILE_UPLOADS!$D:$D,$C647)</f>
        <v>0</v>
      </c>
      <c r="H647" s="17" t="str">
        <f t="shared" si="1"/>
        <v/>
      </c>
    </row>
    <row r="648" ht="15.75" customHeight="1">
      <c r="A648" s="17" t="s">
        <v>340</v>
      </c>
      <c r="B648" s="17" t="s">
        <v>17</v>
      </c>
      <c r="C648" s="17" t="s">
        <v>161</v>
      </c>
      <c r="D648" s="17" t="s">
        <v>162</v>
      </c>
      <c r="E648" s="17" t="s">
        <v>163</v>
      </c>
      <c r="F648" s="17" t="str">
        <f t="array" ref="F648">IFERROR(INDEX(PL4_TONG_HOP!$R$2:$R$5000,MATCH($C648,PL4_TONG_HOP!$A$2:$A$5000,0)),"")</f>
        <v/>
      </c>
      <c r="G648" s="17">
        <f>COUNTIFS(FILE_UPLOADS!$B:$B,$A648,FILE_UPLOADS!$D:$D,$C648)</f>
        <v>0</v>
      </c>
      <c r="H648" s="17" t="str">
        <f t="shared" si="1"/>
        <v/>
      </c>
    </row>
    <row r="649" ht="15.75" customHeight="1">
      <c r="A649" s="17" t="s">
        <v>340</v>
      </c>
      <c r="B649" s="17" t="s">
        <v>17</v>
      </c>
      <c r="C649" s="17" t="s">
        <v>164</v>
      </c>
      <c r="D649" s="17" t="s">
        <v>165</v>
      </c>
      <c r="E649" s="17" t="s">
        <v>166</v>
      </c>
      <c r="F649" s="17" t="str">
        <f t="array" ref="F649">IFERROR(INDEX(PL4_TONG_HOP!$R$2:$R$5000,MATCH($C649,PL4_TONG_HOP!$A$2:$A$5000,0)),"")</f>
        <v/>
      </c>
      <c r="G649" s="17">
        <f>COUNTIFS(FILE_UPLOADS!$B:$B,$A649,FILE_UPLOADS!$D:$D,$C649)</f>
        <v>0</v>
      </c>
      <c r="H649" s="17" t="str">
        <f t="shared" si="1"/>
        <v/>
      </c>
    </row>
    <row r="650" ht="15.75" customHeight="1">
      <c r="A650" s="17" t="s">
        <v>340</v>
      </c>
      <c r="B650" s="17" t="s">
        <v>17</v>
      </c>
      <c r="C650" s="17" t="s">
        <v>167</v>
      </c>
      <c r="D650" s="17" t="s">
        <v>168</v>
      </c>
      <c r="E650" s="17" t="s">
        <v>169</v>
      </c>
      <c r="F650" s="17" t="str">
        <f t="array" ref="F650">IFERROR(INDEX(PL4_TONG_HOP!$R$2:$R$5000,MATCH($C650,PL4_TONG_HOP!$A$2:$A$5000,0)),"")</f>
        <v/>
      </c>
      <c r="G650" s="17">
        <f>COUNTIFS(FILE_UPLOADS!$B:$B,$A650,FILE_UPLOADS!$D:$D,$C650)</f>
        <v>0</v>
      </c>
      <c r="H650" s="17" t="str">
        <f t="shared" si="1"/>
        <v/>
      </c>
    </row>
    <row r="651" ht="15.75" customHeight="1">
      <c r="A651" s="17" t="s">
        <v>340</v>
      </c>
      <c r="B651" s="17" t="s">
        <v>17</v>
      </c>
      <c r="C651" s="17" t="s">
        <v>173</v>
      </c>
      <c r="D651" s="17" t="s">
        <v>174</v>
      </c>
      <c r="E651" s="17" t="s">
        <v>175</v>
      </c>
      <c r="F651" s="17" t="str">
        <f t="array" ref="F651">IFERROR(INDEX(PL4_TONG_HOP!$R$2:$R$5000,MATCH($C651,PL4_TONG_HOP!$A$2:$A$5000,0)),"")</f>
        <v/>
      </c>
      <c r="G651" s="17">
        <f>COUNTIFS(FILE_UPLOADS!$B:$B,$A651,FILE_UPLOADS!$D:$D,$C651)</f>
        <v>0</v>
      </c>
      <c r="H651" s="17" t="str">
        <f t="shared" si="1"/>
        <v/>
      </c>
    </row>
    <row r="652" ht="15.75" customHeight="1">
      <c r="A652" s="17" t="s">
        <v>340</v>
      </c>
      <c r="B652" s="17" t="s">
        <v>17</v>
      </c>
      <c r="C652" s="17" t="s">
        <v>176</v>
      </c>
      <c r="D652" s="17" t="s">
        <v>177</v>
      </c>
      <c r="E652" s="17" t="s">
        <v>178</v>
      </c>
      <c r="F652" s="17" t="str">
        <f t="array" ref="F652">IFERROR(INDEX(PL4_TONG_HOP!$R$2:$R$5000,MATCH($C652,PL4_TONG_HOP!$A$2:$A$5000,0)),"")</f>
        <v/>
      </c>
      <c r="G652" s="17">
        <f>COUNTIFS(FILE_UPLOADS!$B:$B,$A652,FILE_UPLOADS!$D:$D,$C652)</f>
        <v>0</v>
      </c>
      <c r="H652" s="17" t="str">
        <f t="shared" si="1"/>
        <v/>
      </c>
    </row>
    <row r="653" ht="15.75" customHeight="1">
      <c r="A653" s="17" t="s">
        <v>340</v>
      </c>
      <c r="B653" s="17" t="s">
        <v>17</v>
      </c>
      <c r="C653" s="17" t="s">
        <v>212</v>
      </c>
      <c r="D653" s="17" t="s">
        <v>213</v>
      </c>
      <c r="E653" s="17" t="s">
        <v>214</v>
      </c>
      <c r="F653" s="17" t="str">
        <f t="array" ref="F653">IFERROR(INDEX(PL4_TONG_HOP!$R$2:$R$5000,MATCH($C653,PL4_TONG_HOP!$A$2:$A$5000,0)),"")</f>
        <v/>
      </c>
      <c r="G653" s="17">
        <f>COUNTIFS(FILE_UPLOADS!$B:$B,$A653,FILE_UPLOADS!$D:$D,$C653)</f>
        <v>0</v>
      </c>
      <c r="H653" s="17" t="str">
        <f t="shared" si="1"/>
        <v/>
      </c>
    </row>
    <row r="654" ht="15.75" customHeight="1">
      <c r="A654" s="17" t="s">
        <v>340</v>
      </c>
      <c r="B654" s="17" t="s">
        <v>17</v>
      </c>
      <c r="C654" s="17" t="s">
        <v>215</v>
      </c>
      <c r="D654" s="17" t="s">
        <v>216</v>
      </c>
      <c r="E654" s="17" t="s">
        <v>217</v>
      </c>
      <c r="F654" s="17" t="str">
        <f t="array" ref="F654">IFERROR(INDEX(PL4_TONG_HOP!$R$2:$R$5000,MATCH($C654,PL4_TONG_HOP!$A$2:$A$5000,0)),"")</f>
        <v/>
      </c>
      <c r="G654" s="17">
        <f>COUNTIFS(FILE_UPLOADS!$B:$B,$A654,FILE_UPLOADS!$D:$D,$C654)</f>
        <v>0</v>
      </c>
      <c r="H654" s="17" t="str">
        <f t="shared" si="1"/>
        <v/>
      </c>
    </row>
    <row r="655" ht="15.75" customHeight="1">
      <c r="A655" s="17" t="s">
        <v>340</v>
      </c>
      <c r="B655" s="17" t="s">
        <v>17</v>
      </c>
      <c r="C655" s="17" t="s">
        <v>227</v>
      </c>
      <c r="D655" s="17" t="s">
        <v>228</v>
      </c>
      <c r="E655" s="17" t="s">
        <v>229</v>
      </c>
      <c r="F655" s="17" t="str">
        <f t="array" ref="F655">IFERROR(INDEX(PL4_TONG_HOP!$R$2:$R$5000,MATCH($C655,PL4_TONG_HOP!$A$2:$A$5000,0)),"")</f>
        <v/>
      </c>
      <c r="G655" s="17">
        <f>COUNTIFS(FILE_UPLOADS!$B:$B,$A655,FILE_UPLOADS!$D:$D,$C655)</f>
        <v>0</v>
      </c>
      <c r="H655" s="17" t="str">
        <f t="shared" si="1"/>
        <v/>
      </c>
    </row>
    <row r="656" ht="15.75" customHeight="1">
      <c r="A656" s="17" t="s">
        <v>340</v>
      </c>
      <c r="B656" s="17" t="s">
        <v>17</v>
      </c>
      <c r="C656" s="17" t="s">
        <v>230</v>
      </c>
      <c r="D656" s="17" t="s">
        <v>231</v>
      </c>
      <c r="E656" s="17" t="s">
        <v>232</v>
      </c>
      <c r="F656" s="17" t="str">
        <f t="array" ref="F656">IFERROR(INDEX(PL4_TONG_HOP!$R$2:$R$5000,MATCH($C656,PL4_TONG_HOP!$A$2:$A$5000,0)),"")</f>
        <v/>
      </c>
      <c r="G656" s="17">
        <f>COUNTIFS(FILE_UPLOADS!$B:$B,$A656,FILE_UPLOADS!$D:$D,$C656)</f>
        <v>0</v>
      </c>
      <c r="H656" s="17" t="str">
        <f t="shared" si="1"/>
        <v/>
      </c>
    </row>
    <row r="657" ht="15.75" customHeight="1">
      <c r="A657" s="17" t="s">
        <v>340</v>
      </c>
      <c r="B657" s="17" t="s">
        <v>17</v>
      </c>
      <c r="C657" s="17" t="s">
        <v>236</v>
      </c>
      <c r="D657" s="17" t="s">
        <v>237</v>
      </c>
      <c r="E657" s="17" t="s">
        <v>238</v>
      </c>
      <c r="F657" s="17" t="str">
        <f t="array" ref="F657">IFERROR(INDEX(PL4_TONG_HOP!$R$2:$R$5000,MATCH($C657,PL4_TONG_HOP!$A$2:$A$5000,0)),"")</f>
        <v/>
      </c>
      <c r="G657" s="17">
        <f>COUNTIFS(FILE_UPLOADS!$B:$B,$A657,FILE_UPLOADS!$D:$D,$C657)</f>
        <v>0</v>
      </c>
      <c r="H657" s="17" t="str">
        <f t="shared" si="1"/>
        <v/>
      </c>
    </row>
    <row r="658" ht="15.75" customHeight="1">
      <c r="A658" s="17" t="s">
        <v>340</v>
      </c>
      <c r="B658" s="17" t="s">
        <v>17</v>
      </c>
      <c r="C658" s="17" t="s">
        <v>239</v>
      </c>
      <c r="D658" s="17" t="s">
        <v>240</v>
      </c>
      <c r="E658" s="17" t="s">
        <v>241</v>
      </c>
      <c r="F658" s="17" t="str">
        <f t="array" ref="F658">IFERROR(INDEX(PL4_TONG_HOP!$R$2:$R$5000,MATCH($C658,PL4_TONG_HOP!$A$2:$A$5000,0)),"")</f>
        <v/>
      </c>
      <c r="G658" s="17">
        <f>COUNTIFS(FILE_UPLOADS!$B:$B,$A658,FILE_UPLOADS!$D:$D,$C658)</f>
        <v>0</v>
      </c>
      <c r="H658" s="17" t="str">
        <f t="shared" si="1"/>
        <v/>
      </c>
    </row>
    <row r="659" ht="15.75" customHeight="1">
      <c r="A659" s="17" t="s">
        <v>340</v>
      </c>
      <c r="B659" s="17" t="s">
        <v>17</v>
      </c>
      <c r="C659" s="17" t="s">
        <v>242</v>
      </c>
      <c r="D659" s="17" t="s">
        <v>243</v>
      </c>
      <c r="E659" s="17" t="s">
        <v>244</v>
      </c>
      <c r="F659" s="17" t="str">
        <f t="array" ref="F659">IFERROR(INDEX(PL4_TONG_HOP!$R$2:$R$5000,MATCH($C659,PL4_TONG_HOP!$A$2:$A$5000,0)),"")</f>
        <v/>
      </c>
      <c r="G659" s="17">
        <f>COUNTIFS(FILE_UPLOADS!$B:$B,$A659,FILE_UPLOADS!$D:$D,$C659)</f>
        <v>0</v>
      </c>
      <c r="H659" s="17" t="str">
        <f t="shared" si="1"/>
        <v/>
      </c>
    </row>
    <row r="660" ht="15.75" customHeight="1">
      <c r="A660" s="17" t="s">
        <v>340</v>
      </c>
      <c r="B660" s="17" t="s">
        <v>17</v>
      </c>
      <c r="C660" s="17" t="s">
        <v>248</v>
      </c>
      <c r="D660" s="17" t="s">
        <v>249</v>
      </c>
      <c r="E660" s="17" t="s">
        <v>250</v>
      </c>
      <c r="F660" s="17" t="str">
        <f t="array" ref="F660">IFERROR(INDEX(PL4_TONG_HOP!$R$2:$R$5000,MATCH($C660,PL4_TONG_HOP!$A$2:$A$5000,0)),"")</f>
        <v/>
      </c>
      <c r="G660" s="17">
        <f>COUNTIFS(FILE_UPLOADS!$B:$B,$A660,FILE_UPLOADS!$D:$D,$C660)</f>
        <v>0</v>
      </c>
      <c r="H660" s="17" t="str">
        <f t="shared" si="1"/>
        <v/>
      </c>
    </row>
    <row r="661" ht="15.75" customHeight="1">
      <c r="A661" s="17" t="s">
        <v>340</v>
      </c>
      <c r="B661" s="17" t="s">
        <v>17</v>
      </c>
      <c r="C661" s="17" t="s">
        <v>251</v>
      </c>
      <c r="D661" s="17" t="s">
        <v>252</v>
      </c>
      <c r="E661" s="17" t="s">
        <v>253</v>
      </c>
      <c r="F661" s="17" t="str">
        <f t="array" ref="F661">IFERROR(INDEX(PL4_TONG_HOP!$R$2:$R$5000,MATCH($C661,PL4_TONG_HOP!$A$2:$A$5000,0)),"")</f>
        <v/>
      </c>
      <c r="G661" s="17">
        <f>COUNTIFS(FILE_UPLOADS!$B:$B,$A661,FILE_UPLOADS!$D:$D,$C661)</f>
        <v>0</v>
      </c>
      <c r="H661" s="17" t="str">
        <f t="shared" si="1"/>
        <v/>
      </c>
    </row>
    <row r="662" ht="15.75" customHeight="1">
      <c r="A662" s="17" t="s">
        <v>340</v>
      </c>
      <c r="B662" s="17" t="s">
        <v>17</v>
      </c>
      <c r="C662" s="17" t="s">
        <v>254</v>
      </c>
      <c r="D662" s="17" t="s">
        <v>255</v>
      </c>
      <c r="E662" s="17" t="s">
        <v>256</v>
      </c>
      <c r="F662" s="17" t="str">
        <f t="array" ref="F662">IFERROR(INDEX(PL4_TONG_HOP!$R$2:$R$5000,MATCH($C662,PL4_TONG_HOP!$A$2:$A$5000,0)),"")</f>
        <v/>
      </c>
      <c r="G662" s="17">
        <f>COUNTIFS(FILE_UPLOADS!$B:$B,$A662,FILE_UPLOADS!$D:$D,$C662)</f>
        <v>0</v>
      </c>
      <c r="H662" s="17" t="str">
        <f t="shared" si="1"/>
        <v/>
      </c>
    </row>
    <row r="663" ht="15.75" customHeight="1">
      <c r="A663" s="17" t="s">
        <v>340</v>
      </c>
      <c r="B663" s="17" t="s">
        <v>17</v>
      </c>
      <c r="C663" s="17" t="s">
        <v>260</v>
      </c>
      <c r="D663" s="17" t="s">
        <v>261</v>
      </c>
      <c r="E663" s="17" t="s">
        <v>262</v>
      </c>
      <c r="F663" s="17" t="str">
        <f t="array" ref="F663">IFERROR(INDEX(PL4_TONG_HOP!$R$2:$R$5000,MATCH($C663,PL4_TONG_HOP!$A$2:$A$5000,0)),"")</f>
        <v/>
      </c>
      <c r="G663" s="17">
        <f>COUNTIFS(FILE_UPLOADS!$B:$B,$A663,FILE_UPLOADS!$D:$D,$C663)</f>
        <v>0</v>
      </c>
      <c r="H663" s="17" t="str">
        <f t="shared" si="1"/>
        <v/>
      </c>
    </row>
    <row r="664" ht="15.75" customHeight="1">
      <c r="A664" s="17" t="s">
        <v>340</v>
      </c>
      <c r="B664" s="17" t="s">
        <v>17</v>
      </c>
      <c r="C664" s="17" t="s">
        <v>263</v>
      </c>
      <c r="D664" s="17" t="s">
        <v>264</v>
      </c>
      <c r="E664" s="17" t="s">
        <v>265</v>
      </c>
      <c r="F664" s="17" t="str">
        <f t="array" ref="F664">IFERROR(INDEX(PL4_TONG_HOP!$R$2:$R$5000,MATCH($C664,PL4_TONG_HOP!$A$2:$A$5000,0)),"")</f>
        <v/>
      </c>
      <c r="G664" s="17">
        <f>COUNTIFS(FILE_UPLOADS!$B:$B,$A664,FILE_UPLOADS!$D:$D,$C664)</f>
        <v>0</v>
      </c>
      <c r="H664" s="17" t="str">
        <f t="shared" si="1"/>
        <v/>
      </c>
    </row>
    <row r="665" ht="15.75" customHeight="1">
      <c r="A665" s="17" t="s">
        <v>340</v>
      </c>
      <c r="B665" s="17" t="s">
        <v>17</v>
      </c>
      <c r="C665" s="17" t="s">
        <v>266</v>
      </c>
      <c r="D665" s="17" t="s">
        <v>267</v>
      </c>
      <c r="E665" s="17" t="s">
        <v>268</v>
      </c>
      <c r="F665" s="17" t="str">
        <f t="array" ref="F665">IFERROR(INDEX(PL4_TONG_HOP!$R$2:$R$5000,MATCH($C665,PL4_TONG_HOP!$A$2:$A$5000,0)),"")</f>
        <v/>
      </c>
      <c r="G665" s="17">
        <f>COUNTIFS(FILE_UPLOADS!$B:$B,$A665,FILE_UPLOADS!$D:$D,$C665)</f>
        <v>0</v>
      </c>
      <c r="H665" s="17" t="str">
        <f t="shared" si="1"/>
        <v/>
      </c>
    </row>
    <row r="666" ht="15.75" customHeight="1">
      <c r="A666" s="17" t="s">
        <v>340</v>
      </c>
      <c r="B666" s="17" t="s">
        <v>17</v>
      </c>
      <c r="C666" s="17" t="s">
        <v>269</v>
      </c>
      <c r="D666" s="17" t="s">
        <v>270</v>
      </c>
      <c r="E666" s="17" t="s">
        <v>271</v>
      </c>
      <c r="F666" s="17" t="str">
        <f t="array" ref="F666">IFERROR(INDEX(PL4_TONG_HOP!$R$2:$R$5000,MATCH($C666,PL4_TONG_HOP!$A$2:$A$5000,0)),"")</f>
        <v/>
      </c>
      <c r="G666" s="17">
        <f>COUNTIFS(FILE_UPLOADS!$B:$B,$A666,FILE_UPLOADS!$D:$D,$C666)</f>
        <v>0</v>
      </c>
      <c r="H666" s="17" t="str">
        <f t="shared" si="1"/>
        <v/>
      </c>
    </row>
    <row r="667" ht="15.75" customHeight="1">
      <c r="A667" s="17" t="s">
        <v>340</v>
      </c>
      <c r="B667" s="17" t="s">
        <v>17</v>
      </c>
      <c r="C667" s="17" t="s">
        <v>272</v>
      </c>
      <c r="D667" s="17" t="s">
        <v>273</v>
      </c>
      <c r="E667" s="17" t="s">
        <v>274</v>
      </c>
      <c r="F667" s="17" t="str">
        <f t="array" ref="F667">IFERROR(INDEX(PL4_TONG_HOP!$R$2:$R$5000,MATCH($C667,PL4_TONG_HOP!$A$2:$A$5000,0)),"")</f>
        <v/>
      </c>
      <c r="G667" s="17">
        <f>COUNTIFS(FILE_UPLOADS!$B:$B,$A667,FILE_UPLOADS!$D:$D,$C667)</f>
        <v>0</v>
      </c>
      <c r="H667" s="17" t="str">
        <f t="shared" si="1"/>
        <v/>
      </c>
    </row>
    <row r="668" ht="15.75" customHeight="1">
      <c r="A668" s="17" t="s">
        <v>340</v>
      </c>
      <c r="B668" s="17" t="s">
        <v>17</v>
      </c>
      <c r="C668" s="17" t="s">
        <v>275</v>
      </c>
      <c r="D668" s="17" t="s">
        <v>276</v>
      </c>
      <c r="E668" s="17" t="s">
        <v>277</v>
      </c>
      <c r="F668" s="17" t="str">
        <f t="array" ref="F668">IFERROR(INDEX(PL4_TONG_HOP!$R$2:$R$5000,MATCH($C668,PL4_TONG_HOP!$A$2:$A$5000,0)),"")</f>
        <v/>
      </c>
      <c r="G668" s="17">
        <f>COUNTIFS(FILE_UPLOADS!$B:$B,$A668,FILE_UPLOADS!$D:$D,$C668)</f>
        <v>0</v>
      </c>
      <c r="H668" s="17" t="str">
        <f t="shared" si="1"/>
        <v/>
      </c>
    </row>
    <row r="669" ht="15.75" customHeight="1">
      <c r="A669" s="17" t="s">
        <v>340</v>
      </c>
      <c r="B669" s="17" t="s">
        <v>17</v>
      </c>
      <c r="C669" s="17" t="s">
        <v>278</v>
      </c>
      <c r="D669" s="17" t="s">
        <v>279</v>
      </c>
      <c r="E669" s="17" t="s">
        <v>280</v>
      </c>
      <c r="F669" s="17" t="str">
        <f t="array" ref="F669">IFERROR(INDEX(PL4_TONG_HOP!$R$2:$R$5000,MATCH($C669,PL4_TONG_HOP!$A$2:$A$5000,0)),"")</f>
        <v/>
      </c>
      <c r="G669" s="17">
        <f>COUNTIFS(FILE_UPLOADS!$B:$B,$A669,FILE_UPLOADS!$D:$D,$C669)</f>
        <v>0</v>
      </c>
      <c r="H669" s="17" t="str">
        <f t="shared" si="1"/>
        <v/>
      </c>
    </row>
    <row r="670" ht="15.75" customHeight="1">
      <c r="A670" s="17" t="s">
        <v>340</v>
      </c>
      <c r="B670" s="17" t="s">
        <v>17</v>
      </c>
      <c r="C670" s="17" t="s">
        <v>281</v>
      </c>
      <c r="D670" s="17" t="s">
        <v>282</v>
      </c>
      <c r="E670" s="17" t="s">
        <v>283</v>
      </c>
      <c r="F670" s="17" t="str">
        <f t="array" ref="F670">IFERROR(INDEX(PL4_TONG_HOP!$R$2:$R$5000,MATCH($C670,PL4_TONG_HOP!$A$2:$A$5000,0)),"")</f>
        <v/>
      </c>
      <c r="G670" s="17">
        <f>COUNTIFS(FILE_UPLOADS!$B:$B,$A670,FILE_UPLOADS!$D:$D,$C670)</f>
        <v>0</v>
      </c>
      <c r="H670" s="17" t="str">
        <f t="shared" si="1"/>
        <v/>
      </c>
    </row>
    <row r="671" ht="15.75" customHeight="1">
      <c r="A671" s="17" t="s">
        <v>340</v>
      </c>
      <c r="B671" s="17" t="s">
        <v>17</v>
      </c>
      <c r="C671" s="17" t="s">
        <v>290</v>
      </c>
      <c r="D671" s="17" t="s">
        <v>291</v>
      </c>
      <c r="E671" s="17" t="s">
        <v>292</v>
      </c>
      <c r="F671" s="17" t="str">
        <f t="array" ref="F671">IFERROR(INDEX(PL4_TONG_HOP!$R$2:$R$5000,MATCH($C671,PL4_TONG_HOP!$A$2:$A$5000,0)),"")</f>
        <v/>
      </c>
      <c r="G671" s="17">
        <f>COUNTIFS(FILE_UPLOADS!$B:$B,$A671,FILE_UPLOADS!$D:$D,$C671)</f>
        <v>0</v>
      </c>
      <c r="H671" s="17" t="str">
        <f t="shared" si="1"/>
        <v/>
      </c>
    </row>
    <row r="672" ht="15.75" customHeight="1">
      <c r="A672" s="17" t="s">
        <v>340</v>
      </c>
      <c r="B672" s="17" t="s">
        <v>17</v>
      </c>
      <c r="C672" s="17" t="s">
        <v>293</v>
      </c>
      <c r="D672" s="17" t="s">
        <v>294</v>
      </c>
      <c r="E672" s="17" t="s">
        <v>295</v>
      </c>
      <c r="F672" s="17" t="str">
        <f t="array" ref="F672">IFERROR(INDEX(PL4_TONG_HOP!$R$2:$R$5000,MATCH($C672,PL4_TONG_HOP!$A$2:$A$5000,0)),"")</f>
        <v/>
      </c>
      <c r="G672" s="17">
        <f>COUNTIFS(FILE_UPLOADS!$B:$B,$A672,FILE_UPLOADS!$D:$D,$C672)</f>
        <v>0</v>
      </c>
      <c r="H672" s="17" t="str">
        <f t="shared" si="1"/>
        <v/>
      </c>
    </row>
    <row r="673" ht="15.75" customHeight="1">
      <c r="A673" s="17" t="s">
        <v>340</v>
      </c>
      <c r="B673" s="17" t="s">
        <v>17</v>
      </c>
      <c r="C673" s="17" t="s">
        <v>299</v>
      </c>
      <c r="D673" s="17" t="s">
        <v>300</v>
      </c>
      <c r="E673" s="17" t="s">
        <v>301</v>
      </c>
      <c r="F673" s="17" t="str">
        <f t="array" ref="F673">IFERROR(INDEX(PL4_TONG_HOP!$R$2:$R$5000,MATCH($C673,PL4_TONG_HOP!$A$2:$A$5000,0)),"")</f>
        <v/>
      </c>
      <c r="G673" s="17">
        <f>COUNTIFS(FILE_UPLOADS!$B:$B,$A673,FILE_UPLOADS!$D:$D,$C673)</f>
        <v>0</v>
      </c>
      <c r="H673" s="17" t="str">
        <f t="shared" si="1"/>
        <v/>
      </c>
    </row>
    <row r="674" ht="15.75" customHeight="1">
      <c r="A674" s="17" t="s">
        <v>340</v>
      </c>
      <c r="B674" s="17" t="s">
        <v>17</v>
      </c>
      <c r="C674" s="17" t="s">
        <v>302</v>
      </c>
      <c r="D674" s="17" t="s">
        <v>303</v>
      </c>
      <c r="E674" s="17" t="s">
        <v>304</v>
      </c>
      <c r="F674" s="17" t="str">
        <f t="array" ref="F674">IFERROR(INDEX(PL4_TONG_HOP!$R$2:$R$5000,MATCH($C674,PL4_TONG_HOP!$A$2:$A$5000,0)),"")</f>
        <v/>
      </c>
      <c r="G674" s="17">
        <f>COUNTIFS(FILE_UPLOADS!$B:$B,$A674,FILE_UPLOADS!$D:$D,$C674)</f>
        <v>0</v>
      </c>
      <c r="H674" s="17" t="str">
        <f t="shared" si="1"/>
        <v/>
      </c>
    </row>
    <row r="675" ht="15.75" customHeight="1">
      <c r="A675" s="17" t="s">
        <v>340</v>
      </c>
      <c r="B675" s="17" t="s">
        <v>17</v>
      </c>
      <c r="C675" s="17" t="s">
        <v>308</v>
      </c>
      <c r="D675" s="17" t="s">
        <v>309</v>
      </c>
      <c r="E675" s="17" t="s">
        <v>310</v>
      </c>
      <c r="F675" s="17" t="str">
        <f t="array" ref="F675">IFERROR(INDEX(PL4_TONG_HOP!$R$2:$R$5000,MATCH($C675,PL4_TONG_HOP!$A$2:$A$5000,0)),"")</f>
        <v/>
      </c>
      <c r="G675" s="17">
        <f>COUNTIFS(FILE_UPLOADS!$B:$B,$A675,FILE_UPLOADS!$D:$D,$C675)</f>
        <v>0</v>
      </c>
      <c r="H675" s="17" t="str">
        <f t="shared" si="1"/>
        <v/>
      </c>
    </row>
    <row r="676" ht="15.75" customHeight="1">
      <c r="A676" s="17" t="s">
        <v>340</v>
      </c>
      <c r="B676" s="17" t="s">
        <v>17</v>
      </c>
      <c r="C676" s="17" t="s">
        <v>311</v>
      </c>
      <c r="D676" s="17" t="s">
        <v>312</v>
      </c>
      <c r="E676" s="17" t="s">
        <v>313</v>
      </c>
      <c r="F676" s="17" t="str">
        <f t="array" ref="F676">IFERROR(INDEX(PL4_TONG_HOP!$R$2:$R$5000,MATCH($C676,PL4_TONG_HOP!$A$2:$A$5000,0)),"")</f>
        <v/>
      </c>
      <c r="G676" s="17">
        <f>COUNTIFS(FILE_UPLOADS!$B:$B,$A676,FILE_UPLOADS!$D:$D,$C676)</f>
        <v>0</v>
      </c>
      <c r="H676" s="17" t="str">
        <f t="shared" si="1"/>
        <v/>
      </c>
    </row>
    <row r="677" ht="15.75" customHeight="1">
      <c r="A677" s="17" t="s">
        <v>340</v>
      </c>
      <c r="B677" s="17" t="s">
        <v>17</v>
      </c>
      <c r="C677" s="17" t="s">
        <v>314</v>
      </c>
      <c r="D677" s="17" t="s">
        <v>315</v>
      </c>
      <c r="E677" s="17" t="s">
        <v>316</v>
      </c>
      <c r="F677" s="17" t="str">
        <f t="array" ref="F677">IFERROR(INDEX(PL4_TONG_HOP!$R$2:$R$5000,MATCH($C677,PL4_TONG_HOP!$A$2:$A$5000,0)),"")</f>
        <v/>
      </c>
      <c r="G677" s="17">
        <f>COUNTIFS(FILE_UPLOADS!$B:$B,$A677,FILE_UPLOADS!$D:$D,$C677)</f>
        <v>0</v>
      </c>
      <c r="H677" s="17" t="str">
        <f t="shared" si="1"/>
        <v/>
      </c>
    </row>
    <row r="678" ht="15.75" customHeight="1">
      <c r="A678" s="17" t="s">
        <v>341</v>
      </c>
      <c r="B678" s="17" t="s">
        <v>18</v>
      </c>
      <c r="C678" s="17" t="s">
        <v>46</v>
      </c>
      <c r="D678" s="17" t="s">
        <v>47</v>
      </c>
      <c r="E678" s="17" t="s">
        <v>48</v>
      </c>
      <c r="F678" s="17" t="str">
        <f t="array" ref="F678">IFERROR(INDEX(PL4_TONG_HOP!$S$2:$S$5000,MATCH($C678,PL4_TONG_HOP!$A$2:$A$5000,0)),"")</f>
        <v/>
      </c>
      <c r="G678" s="17">
        <f>COUNTIFS(FILE_UPLOADS!$B:$B,$A678,FILE_UPLOADS!$D:$D,$C678)</f>
        <v>0</v>
      </c>
      <c r="H678" s="17" t="str">
        <f t="shared" si="1"/>
        <v/>
      </c>
    </row>
    <row r="679" ht="15.75" customHeight="1">
      <c r="A679" s="17" t="s">
        <v>341</v>
      </c>
      <c r="B679" s="17" t="s">
        <v>18</v>
      </c>
      <c r="C679" s="17" t="s">
        <v>78</v>
      </c>
      <c r="D679" s="17" t="s">
        <v>79</v>
      </c>
      <c r="E679" s="17" t="s">
        <v>80</v>
      </c>
      <c r="F679" s="17" t="str">
        <f t="array" ref="F679">IFERROR(INDEX(PL4_TONG_HOP!$S$2:$S$5000,MATCH($C679,PL4_TONG_HOP!$A$2:$A$5000,0)),"")</f>
        <v/>
      </c>
      <c r="G679" s="17">
        <f>COUNTIFS(FILE_UPLOADS!$B:$B,$A679,FILE_UPLOADS!$D:$D,$C679)</f>
        <v>0</v>
      </c>
      <c r="H679" s="17" t="str">
        <f t="shared" si="1"/>
        <v/>
      </c>
    </row>
    <row r="680" ht="15.75" customHeight="1">
      <c r="A680" s="17" t="s">
        <v>341</v>
      </c>
      <c r="B680" s="17" t="s">
        <v>18</v>
      </c>
      <c r="C680" s="17" t="s">
        <v>81</v>
      </c>
      <c r="D680" s="17" t="s">
        <v>82</v>
      </c>
      <c r="E680" s="17" t="s">
        <v>83</v>
      </c>
      <c r="F680" s="17" t="str">
        <f t="array" ref="F680">IFERROR(INDEX(PL4_TONG_HOP!$S$2:$S$5000,MATCH($C680,PL4_TONG_HOP!$A$2:$A$5000,0)),"")</f>
        <v/>
      </c>
      <c r="G680" s="17">
        <f>COUNTIFS(FILE_UPLOADS!$B:$B,$A680,FILE_UPLOADS!$D:$D,$C680)</f>
        <v>0</v>
      </c>
      <c r="H680" s="17" t="str">
        <f t="shared" si="1"/>
        <v/>
      </c>
    </row>
    <row r="681" ht="15.75" customHeight="1">
      <c r="A681" s="17" t="s">
        <v>341</v>
      </c>
      <c r="B681" s="17" t="s">
        <v>18</v>
      </c>
      <c r="C681" s="17" t="s">
        <v>87</v>
      </c>
      <c r="D681" s="17" t="s">
        <v>88</v>
      </c>
      <c r="E681" s="17" t="s">
        <v>89</v>
      </c>
      <c r="F681" s="17" t="str">
        <f t="array" ref="F681">IFERROR(INDEX(PL4_TONG_HOP!$S$2:$S$5000,MATCH($C681,PL4_TONG_HOP!$A$2:$A$5000,0)),"")</f>
        <v/>
      </c>
      <c r="G681" s="17">
        <f>COUNTIFS(FILE_UPLOADS!$B:$B,$A681,FILE_UPLOADS!$D:$D,$C681)</f>
        <v>0</v>
      </c>
      <c r="H681" s="17" t="str">
        <f t="shared" si="1"/>
        <v/>
      </c>
    </row>
    <row r="682" ht="15.75" customHeight="1">
      <c r="A682" s="17" t="s">
        <v>341</v>
      </c>
      <c r="B682" s="17" t="s">
        <v>18</v>
      </c>
      <c r="C682" s="17" t="s">
        <v>90</v>
      </c>
      <c r="D682" s="17" t="s">
        <v>91</v>
      </c>
      <c r="E682" s="17" t="s">
        <v>92</v>
      </c>
      <c r="F682" s="17" t="str">
        <f t="array" ref="F682">IFERROR(INDEX(PL4_TONG_HOP!$S$2:$S$5000,MATCH($C682,PL4_TONG_HOP!$A$2:$A$5000,0)),"")</f>
        <v/>
      </c>
      <c r="G682" s="17">
        <f>COUNTIFS(FILE_UPLOADS!$B:$B,$A682,FILE_UPLOADS!$D:$D,$C682)</f>
        <v>0</v>
      </c>
      <c r="H682" s="17" t="str">
        <f t="shared" si="1"/>
        <v/>
      </c>
    </row>
    <row r="683" ht="15.75" customHeight="1">
      <c r="A683" s="17" t="s">
        <v>341</v>
      </c>
      <c r="B683" s="17" t="s">
        <v>18</v>
      </c>
      <c r="C683" s="17" t="s">
        <v>93</v>
      </c>
      <c r="D683" s="17" t="s">
        <v>85</v>
      </c>
      <c r="E683" s="17" t="s">
        <v>94</v>
      </c>
      <c r="F683" s="17" t="str">
        <f t="array" ref="F683">IFERROR(INDEX(PL4_TONG_HOP!$S$2:$S$5000,MATCH($C683,PL4_TONG_HOP!$A$2:$A$5000,0)),"")</f>
        <v/>
      </c>
      <c r="G683" s="17">
        <f>COUNTIFS(FILE_UPLOADS!$B:$B,$A683,FILE_UPLOADS!$D:$D,$C683)</f>
        <v>0</v>
      </c>
      <c r="H683" s="17" t="str">
        <f t="shared" si="1"/>
        <v/>
      </c>
    </row>
    <row r="684" ht="15.75" customHeight="1">
      <c r="A684" s="17" t="s">
        <v>341</v>
      </c>
      <c r="B684" s="17" t="s">
        <v>18</v>
      </c>
      <c r="C684" s="17" t="s">
        <v>95</v>
      </c>
      <c r="D684" s="17" t="s">
        <v>96</v>
      </c>
      <c r="E684" s="17" t="s">
        <v>97</v>
      </c>
      <c r="F684" s="17" t="str">
        <f t="array" ref="F684">IFERROR(INDEX(PL4_TONG_HOP!$S$2:$S$5000,MATCH($C684,PL4_TONG_HOP!$A$2:$A$5000,0)),"")</f>
        <v/>
      </c>
      <c r="G684" s="17">
        <f>COUNTIFS(FILE_UPLOADS!$B:$B,$A684,FILE_UPLOADS!$D:$D,$C684)</f>
        <v>0</v>
      </c>
      <c r="H684" s="17" t="str">
        <f t="shared" si="1"/>
        <v/>
      </c>
    </row>
    <row r="685" ht="15.75" customHeight="1">
      <c r="A685" s="17" t="s">
        <v>341</v>
      </c>
      <c r="B685" s="17" t="s">
        <v>18</v>
      </c>
      <c r="C685" s="17" t="s">
        <v>98</v>
      </c>
      <c r="D685" s="17" t="s">
        <v>99</v>
      </c>
      <c r="E685" s="17" t="s">
        <v>100</v>
      </c>
      <c r="F685" s="17" t="str">
        <f t="array" ref="F685">IFERROR(INDEX(PL4_TONG_HOP!$S$2:$S$5000,MATCH($C685,PL4_TONG_HOP!$A$2:$A$5000,0)),"")</f>
        <v/>
      </c>
      <c r="G685" s="17">
        <f>COUNTIFS(FILE_UPLOADS!$B:$B,$A685,FILE_UPLOADS!$D:$D,$C685)</f>
        <v>0</v>
      </c>
      <c r="H685" s="17" t="str">
        <f t="shared" si="1"/>
        <v/>
      </c>
    </row>
    <row r="686" ht="15.75" customHeight="1">
      <c r="A686" s="17" t="s">
        <v>341</v>
      </c>
      <c r="B686" s="17" t="s">
        <v>18</v>
      </c>
      <c r="C686" s="17" t="s">
        <v>101</v>
      </c>
      <c r="D686" s="17" t="s">
        <v>102</v>
      </c>
      <c r="E686" s="17" t="s">
        <v>103</v>
      </c>
      <c r="F686" s="17" t="str">
        <f t="array" ref="F686">IFERROR(INDEX(PL4_TONG_HOP!$S$2:$S$5000,MATCH($C686,PL4_TONG_HOP!$A$2:$A$5000,0)),"")</f>
        <v/>
      </c>
      <c r="G686" s="17">
        <f>COUNTIFS(FILE_UPLOADS!$B:$B,$A686,FILE_UPLOADS!$D:$D,$C686)</f>
        <v>0</v>
      </c>
      <c r="H686" s="17" t="str">
        <f t="shared" si="1"/>
        <v/>
      </c>
    </row>
    <row r="687" ht="15.75" customHeight="1">
      <c r="A687" s="17" t="s">
        <v>341</v>
      </c>
      <c r="B687" s="17" t="s">
        <v>18</v>
      </c>
      <c r="C687" s="17" t="s">
        <v>113</v>
      </c>
      <c r="D687" s="17" t="s">
        <v>114</v>
      </c>
      <c r="E687" s="17" t="s">
        <v>115</v>
      </c>
      <c r="F687" s="17" t="str">
        <f t="array" ref="F687">IFERROR(INDEX(PL4_TONG_HOP!$S$2:$S$5000,MATCH($C687,PL4_TONG_HOP!$A$2:$A$5000,0)),"")</f>
        <v/>
      </c>
      <c r="G687" s="17">
        <f>COUNTIFS(FILE_UPLOADS!$B:$B,$A687,FILE_UPLOADS!$D:$D,$C687)</f>
        <v>0</v>
      </c>
      <c r="H687" s="17" t="str">
        <f t="shared" si="1"/>
        <v/>
      </c>
    </row>
    <row r="688" ht="15.75" customHeight="1">
      <c r="A688" s="17" t="s">
        <v>341</v>
      </c>
      <c r="B688" s="17" t="s">
        <v>18</v>
      </c>
      <c r="C688" s="17" t="s">
        <v>116</v>
      </c>
      <c r="D688" s="17" t="s">
        <v>117</v>
      </c>
      <c r="E688" s="17" t="s">
        <v>118</v>
      </c>
      <c r="F688" s="17" t="str">
        <f t="array" ref="F688">IFERROR(INDEX(PL4_TONG_HOP!$S$2:$S$5000,MATCH($C688,PL4_TONG_HOP!$A$2:$A$5000,0)),"")</f>
        <v/>
      </c>
      <c r="G688" s="17">
        <f>COUNTIFS(FILE_UPLOADS!$B:$B,$A688,FILE_UPLOADS!$D:$D,$C688)</f>
        <v>0</v>
      </c>
      <c r="H688" s="17" t="str">
        <f t="shared" si="1"/>
        <v/>
      </c>
    </row>
    <row r="689" ht="15.75" customHeight="1">
      <c r="A689" s="17" t="s">
        <v>341</v>
      </c>
      <c r="B689" s="17" t="s">
        <v>18</v>
      </c>
      <c r="C689" s="17" t="s">
        <v>119</v>
      </c>
      <c r="D689" s="17" t="s">
        <v>120</v>
      </c>
      <c r="E689" s="17" t="s">
        <v>121</v>
      </c>
      <c r="F689" s="17" t="str">
        <f t="array" ref="F689">IFERROR(INDEX(PL4_TONG_HOP!$S$2:$S$5000,MATCH($C689,PL4_TONG_HOP!$A$2:$A$5000,0)),"")</f>
        <v/>
      </c>
      <c r="G689" s="17">
        <f>COUNTIFS(FILE_UPLOADS!$B:$B,$A689,FILE_UPLOADS!$D:$D,$C689)</f>
        <v>0</v>
      </c>
      <c r="H689" s="17" t="str">
        <f t="shared" si="1"/>
        <v/>
      </c>
    </row>
    <row r="690" ht="15.75" customHeight="1">
      <c r="A690" s="17" t="s">
        <v>341</v>
      </c>
      <c r="B690" s="17" t="s">
        <v>18</v>
      </c>
      <c r="C690" s="17" t="s">
        <v>122</v>
      </c>
      <c r="D690" s="17" t="s">
        <v>123</v>
      </c>
      <c r="E690" s="17" t="s">
        <v>124</v>
      </c>
      <c r="F690" s="17" t="str">
        <f t="array" ref="F690">IFERROR(INDEX(PL4_TONG_HOP!$S$2:$S$5000,MATCH($C690,PL4_TONG_HOP!$A$2:$A$5000,0)),"")</f>
        <v/>
      </c>
      <c r="G690" s="17">
        <f>COUNTIFS(FILE_UPLOADS!$B:$B,$A690,FILE_UPLOADS!$D:$D,$C690)</f>
        <v>0</v>
      </c>
      <c r="H690" s="17" t="str">
        <f t="shared" si="1"/>
        <v/>
      </c>
    </row>
    <row r="691" ht="15.75" customHeight="1">
      <c r="A691" s="17" t="s">
        <v>341</v>
      </c>
      <c r="B691" s="17" t="s">
        <v>18</v>
      </c>
      <c r="C691" s="17" t="s">
        <v>125</v>
      </c>
      <c r="D691" s="17" t="s">
        <v>126</v>
      </c>
      <c r="E691" s="17" t="s">
        <v>127</v>
      </c>
      <c r="F691" s="17" t="str">
        <f t="array" ref="F691">IFERROR(INDEX(PL4_TONG_HOP!$S$2:$S$5000,MATCH($C691,PL4_TONG_HOP!$A$2:$A$5000,0)),"")</f>
        <v/>
      </c>
      <c r="G691" s="17">
        <f>COUNTIFS(FILE_UPLOADS!$B:$B,$A691,FILE_UPLOADS!$D:$D,$C691)</f>
        <v>0</v>
      </c>
      <c r="H691" s="17" t="str">
        <f t="shared" si="1"/>
        <v/>
      </c>
    </row>
    <row r="692" ht="15.75" customHeight="1">
      <c r="A692" s="17" t="s">
        <v>341</v>
      </c>
      <c r="B692" s="17" t="s">
        <v>18</v>
      </c>
      <c r="C692" s="17" t="s">
        <v>128</v>
      </c>
      <c r="D692" s="17" t="s">
        <v>129</v>
      </c>
      <c r="E692" s="17" t="s">
        <v>130</v>
      </c>
      <c r="F692" s="17" t="str">
        <f t="array" ref="F692">IFERROR(INDEX(PL4_TONG_HOP!$S$2:$S$5000,MATCH($C692,PL4_TONG_HOP!$A$2:$A$5000,0)),"")</f>
        <v/>
      </c>
      <c r="G692" s="17">
        <f>COUNTIFS(FILE_UPLOADS!$B:$B,$A692,FILE_UPLOADS!$D:$D,$C692)</f>
        <v>0</v>
      </c>
      <c r="H692" s="17" t="str">
        <f t="shared" si="1"/>
        <v/>
      </c>
    </row>
    <row r="693" ht="15.75" customHeight="1">
      <c r="A693" s="17" t="s">
        <v>341</v>
      </c>
      <c r="B693" s="17" t="s">
        <v>18</v>
      </c>
      <c r="C693" s="17" t="s">
        <v>131</v>
      </c>
      <c r="D693" s="17" t="s">
        <v>132</v>
      </c>
      <c r="E693" s="17" t="s">
        <v>133</v>
      </c>
      <c r="F693" s="17" t="str">
        <f t="array" ref="F693">IFERROR(INDEX(PL4_TONG_HOP!$S$2:$S$5000,MATCH($C693,PL4_TONG_HOP!$A$2:$A$5000,0)),"")</f>
        <v/>
      </c>
      <c r="G693" s="17">
        <f>COUNTIFS(FILE_UPLOADS!$B:$B,$A693,FILE_UPLOADS!$D:$D,$C693)</f>
        <v>0</v>
      </c>
      <c r="H693" s="17" t="str">
        <f t="shared" si="1"/>
        <v/>
      </c>
    </row>
    <row r="694" ht="15.75" customHeight="1">
      <c r="A694" s="17" t="s">
        <v>341</v>
      </c>
      <c r="B694" s="17" t="s">
        <v>18</v>
      </c>
      <c r="C694" s="17" t="s">
        <v>134</v>
      </c>
      <c r="D694" s="17" t="s">
        <v>135</v>
      </c>
      <c r="E694" s="17" t="s">
        <v>136</v>
      </c>
      <c r="F694" s="17" t="str">
        <f t="array" ref="F694">IFERROR(INDEX(PL4_TONG_HOP!$S$2:$S$5000,MATCH($C694,PL4_TONG_HOP!$A$2:$A$5000,0)),"")</f>
        <v/>
      </c>
      <c r="G694" s="17">
        <f>COUNTIFS(FILE_UPLOADS!$B:$B,$A694,FILE_UPLOADS!$D:$D,$C694)</f>
        <v>0</v>
      </c>
      <c r="H694" s="17" t="str">
        <f t="shared" si="1"/>
        <v/>
      </c>
    </row>
    <row r="695" ht="15.75" customHeight="1">
      <c r="A695" s="17" t="s">
        <v>341</v>
      </c>
      <c r="B695" s="17" t="s">
        <v>18</v>
      </c>
      <c r="C695" s="17" t="s">
        <v>140</v>
      </c>
      <c r="D695" s="17" t="s">
        <v>141</v>
      </c>
      <c r="E695" s="17" t="s">
        <v>142</v>
      </c>
      <c r="F695" s="17" t="str">
        <f t="array" ref="F695">IFERROR(INDEX(PL4_TONG_HOP!$S$2:$S$5000,MATCH($C695,PL4_TONG_HOP!$A$2:$A$5000,0)),"")</f>
        <v/>
      </c>
      <c r="G695" s="17">
        <f>COUNTIFS(FILE_UPLOADS!$B:$B,$A695,FILE_UPLOADS!$D:$D,$C695)</f>
        <v>0</v>
      </c>
      <c r="H695" s="17" t="str">
        <f t="shared" si="1"/>
        <v/>
      </c>
    </row>
    <row r="696" ht="15.75" customHeight="1">
      <c r="A696" s="17" t="s">
        <v>341</v>
      </c>
      <c r="B696" s="17" t="s">
        <v>18</v>
      </c>
      <c r="C696" s="17" t="s">
        <v>143</v>
      </c>
      <c r="D696" s="17" t="s">
        <v>144</v>
      </c>
      <c r="E696" s="17" t="s">
        <v>145</v>
      </c>
      <c r="F696" s="17" t="str">
        <f t="array" ref="F696">IFERROR(INDEX(PL4_TONG_HOP!$S$2:$S$5000,MATCH($C696,PL4_TONG_HOP!$A$2:$A$5000,0)),"")</f>
        <v/>
      </c>
      <c r="G696" s="17">
        <f>COUNTIFS(FILE_UPLOADS!$B:$B,$A696,FILE_UPLOADS!$D:$D,$C696)</f>
        <v>0</v>
      </c>
      <c r="H696" s="17" t="str">
        <f t="shared" si="1"/>
        <v/>
      </c>
    </row>
    <row r="697" ht="15.75" customHeight="1">
      <c r="A697" s="17" t="s">
        <v>341</v>
      </c>
      <c r="B697" s="17" t="s">
        <v>18</v>
      </c>
      <c r="C697" s="17" t="s">
        <v>149</v>
      </c>
      <c r="D697" s="17" t="s">
        <v>150</v>
      </c>
      <c r="E697" s="17" t="s">
        <v>151</v>
      </c>
      <c r="F697" s="17" t="str">
        <f t="array" ref="F697">IFERROR(INDEX(PL4_TONG_HOP!$S$2:$S$5000,MATCH($C697,PL4_TONG_HOP!$A$2:$A$5000,0)),"")</f>
        <v/>
      </c>
      <c r="G697" s="17">
        <f>COUNTIFS(FILE_UPLOADS!$B:$B,$A697,FILE_UPLOADS!$D:$D,$C697)</f>
        <v>0</v>
      </c>
      <c r="H697" s="17" t="str">
        <f t="shared" si="1"/>
        <v/>
      </c>
    </row>
    <row r="698" ht="15.75" customHeight="1">
      <c r="A698" s="17" t="s">
        <v>341</v>
      </c>
      <c r="B698" s="17" t="s">
        <v>18</v>
      </c>
      <c r="C698" s="17" t="s">
        <v>152</v>
      </c>
      <c r="D698" s="17" t="s">
        <v>153</v>
      </c>
      <c r="E698" s="17" t="s">
        <v>154</v>
      </c>
      <c r="F698" s="17" t="str">
        <f t="array" ref="F698">IFERROR(INDEX(PL4_TONG_HOP!$S$2:$S$5000,MATCH($C698,PL4_TONG_HOP!$A$2:$A$5000,0)),"")</f>
        <v/>
      </c>
      <c r="G698" s="17">
        <f>COUNTIFS(FILE_UPLOADS!$B:$B,$A698,FILE_UPLOADS!$D:$D,$C698)</f>
        <v>0</v>
      </c>
      <c r="H698" s="17" t="str">
        <f t="shared" si="1"/>
        <v/>
      </c>
    </row>
    <row r="699" ht="15.75" customHeight="1">
      <c r="A699" s="17" t="s">
        <v>341</v>
      </c>
      <c r="B699" s="17" t="s">
        <v>18</v>
      </c>
      <c r="C699" s="17" t="s">
        <v>155</v>
      </c>
      <c r="D699" s="17" t="s">
        <v>156</v>
      </c>
      <c r="E699" s="17" t="s">
        <v>157</v>
      </c>
      <c r="F699" s="17" t="str">
        <f t="array" ref="F699">IFERROR(INDEX(PL4_TONG_HOP!$S$2:$S$5000,MATCH($C699,PL4_TONG_HOP!$A$2:$A$5000,0)),"")</f>
        <v/>
      </c>
      <c r="G699" s="17">
        <f>COUNTIFS(FILE_UPLOADS!$B:$B,$A699,FILE_UPLOADS!$D:$D,$C699)</f>
        <v>0</v>
      </c>
      <c r="H699" s="17" t="str">
        <f t="shared" si="1"/>
        <v/>
      </c>
    </row>
    <row r="700" ht="15.75" customHeight="1">
      <c r="A700" s="17" t="s">
        <v>341</v>
      </c>
      <c r="B700" s="17" t="s">
        <v>18</v>
      </c>
      <c r="C700" s="17" t="s">
        <v>161</v>
      </c>
      <c r="D700" s="17" t="s">
        <v>162</v>
      </c>
      <c r="E700" s="17" t="s">
        <v>163</v>
      </c>
      <c r="F700" s="17" t="str">
        <f t="array" ref="F700">IFERROR(INDEX(PL4_TONG_HOP!$S$2:$S$5000,MATCH($C700,PL4_TONG_HOP!$A$2:$A$5000,0)),"")</f>
        <v/>
      </c>
      <c r="G700" s="17">
        <f>COUNTIFS(FILE_UPLOADS!$B:$B,$A700,FILE_UPLOADS!$D:$D,$C700)</f>
        <v>0</v>
      </c>
      <c r="H700" s="17" t="str">
        <f t="shared" si="1"/>
        <v/>
      </c>
    </row>
    <row r="701" ht="15.75" customHeight="1">
      <c r="A701" s="17" t="s">
        <v>341</v>
      </c>
      <c r="B701" s="17" t="s">
        <v>18</v>
      </c>
      <c r="C701" s="17" t="s">
        <v>164</v>
      </c>
      <c r="D701" s="17" t="s">
        <v>165</v>
      </c>
      <c r="E701" s="17" t="s">
        <v>166</v>
      </c>
      <c r="F701" s="17" t="str">
        <f t="array" ref="F701">IFERROR(INDEX(PL4_TONG_HOP!$S$2:$S$5000,MATCH($C701,PL4_TONG_HOP!$A$2:$A$5000,0)),"")</f>
        <v/>
      </c>
      <c r="G701" s="17">
        <f>COUNTIFS(FILE_UPLOADS!$B:$B,$A701,FILE_UPLOADS!$D:$D,$C701)</f>
        <v>0</v>
      </c>
      <c r="H701" s="17" t="str">
        <f t="shared" si="1"/>
        <v/>
      </c>
    </row>
    <row r="702" ht="15.75" customHeight="1">
      <c r="A702" s="17" t="s">
        <v>341</v>
      </c>
      <c r="B702" s="17" t="s">
        <v>18</v>
      </c>
      <c r="C702" s="17" t="s">
        <v>167</v>
      </c>
      <c r="D702" s="17" t="s">
        <v>168</v>
      </c>
      <c r="E702" s="17" t="s">
        <v>169</v>
      </c>
      <c r="F702" s="17" t="str">
        <f t="array" ref="F702">IFERROR(INDEX(PL4_TONG_HOP!$S$2:$S$5000,MATCH($C702,PL4_TONG_HOP!$A$2:$A$5000,0)),"")</f>
        <v/>
      </c>
      <c r="G702" s="17">
        <f>COUNTIFS(FILE_UPLOADS!$B:$B,$A702,FILE_UPLOADS!$D:$D,$C702)</f>
        <v>0</v>
      </c>
      <c r="H702" s="17" t="str">
        <f t="shared" si="1"/>
        <v/>
      </c>
    </row>
    <row r="703" ht="15.75" customHeight="1">
      <c r="A703" s="17" t="s">
        <v>341</v>
      </c>
      <c r="B703" s="17" t="s">
        <v>18</v>
      </c>
      <c r="C703" s="17" t="s">
        <v>173</v>
      </c>
      <c r="D703" s="17" t="s">
        <v>174</v>
      </c>
      <c r="E703" s="17" t="s">
        <v>175</v>
      </c>
      <c r="F703" s="17" t="str">
        <f t="array" ref="F703">IFERROR(INDEX(PL4_TONG_HOP!$S$2:$S$5000,MATCH($C703,PL4_TONG_HOP!$A$2:$A$5000,0)),"")</f>
        <v/>
      </c>
      <c r="G703" s="17">
        <f>COUNTIFS(FILE_UPLOADS!$B:$B,$A703,FILE_UPLOADS!$D:$D,$C703)</f>
        <v>0</v>
      </c>
      <c r="H703" s="17" t="str">
        <f t="shared" si="1"/>
        <v/>
      </c>
    </row>
    <row r="704" ht="15.75" customHeight="1">
      <c r="A704" s="17" t="s">
        <v>341</v>
      </c>
      <c r="B704" s="17" t="s">
        <v>18</v>
      </c>
      <c r="C704" s="17" t="s">
        <v>176</v>
      </c>
      <c r="D704" s="17" t="s">
        <v>177</v>
      </c>
      <c r="E704" s="17" t="s">
        <v>178</v>
      </c>
      <c r="F704" s="17" t="str">
        <f t="array" ref="F704">IFERROR(INDEX(PL4_TONG_HOP!$S$2:$S$5000,MATCH($C704,PL4_TONG_HOP!$A$2:$A$5000,0)),"")</f>
        <v/>
      </c>
      <c r="G704" s="17">
        <f>COUNTIFS(FILE_UPLOADS!$B:$B,$A704,FILE_UPLOADS!$D:$D,$C704)</f>
        <v>0</v>
      </c>
      <c r="H704" s="17" t="str">
        <f t="shared" si="1"/>
        <v/>
      </c>
    </row>
    <row r="705" ht="15.75" customHeight="1">
      <c r="A705" s="17" t="s">
        <v>341</v>
      </c>
      <c r="B705" s="17" t="s">
        <v>18</v>
      </c>
      <c r="C705" s="17" t="s">
        <v>212</v>
      </c>
      <c r="D705" s="17" t="s">
        <v>213</v>
      </c>
      <c r="E705" s="17" t="s">
        <v>214</v>
      </c>
      <c r="F705" s="17" t="str">
        <f t="array" ref="F705">IFERROR(INDEX(PL4_TONG_HOP!$S$2:$S$5000,MATCH($C705,PL4_TONG_HOP!$A$2:$A$5000,0)),"")</f>
        <v/>
      </c>
      <c r="G705" s="17">
        <f>COUNTIFS(FILE_UPLOADS!$B:$B,$A705,FILE_UPLOADS!$D:$D,$C705)</f>
        <v>0</v>
      </c>
      <c r="H705" s="17" t="str">
        <f t="shared" si="1"/>
        <v/>
      </c>
    </row>
    <row r="706" ht="15.75" customHeight="1">
      <c r="A706" s="17" t="s">
        <v>341</v>
      </c>
      <c r="B706" s="17" t="s">
        <v>18</v>
      </c>
      <c r="C706" s="17" t="s">
        <v>215</v>
      </c>
      <c r="D706" s="17" t="s">
        <v>216</v>
      </c>
      <c r="E706" s="17" t="s">
        <v>217</v>
      </c>
      <c r="F706" s="17" t="str">
        <f t="array" ref="F706">IFERROR(INDEX(PL4_TONG_HOP!$S$2:$S$5000,MATCH($C706,PL4_TONG_HOP!$A$2:$A$5000,0)),"")</f>
        <v/>
      </c>
      <c r="G706" s="17">
        <f>COUNTIFS(FILE_UPLOADS!$B:$B,$A706,FILE_UPLOADS!$D:$D,$C706)</f>
        <v>0</v>
      </c>
      <c r="H706" s="17" t="str">
        <f t="shared" si="1"/>
        <v/>
      </c>
    </row>
    <row r="707" ht="15.75" customHeight="1">
      <c r="A707" s="17" t="s">
        <v>341</v>
      </c>
      <c r="B707" s="17" t="s">
        <v>18</v>
      </c>
      <c r="C707" s="17" t="s">
        <v>227</v>
      </c>
      <c r="D707" s="17" t="s">
        <v>228</v>
      </c>
      <c r="E707" s="17" t="s">
        <v>229</v>
      </c>
      <c r="F707" s="17" t="str">
        <f t="array" ref="F707">IFERROR(INDEX(PL4_TONG_HOP!$S$2:$S$5000,MATCH($C707,PL4_TONG_HOP!$A$2:$A$5000,0)),"")</f>
        <v/>
      </c>
      <c r="G707" s="17">
        <f>COUNTIFS(FILE_UPLOADS!$B:$B,$A707,FILE_UPLOADS!$D:$D,$C707)</f>
        <v>0</v>
      </c>
      <c r="H707" s="17" t="str">
        <f t="shared" si="1"/>
        <v/>
      </c>
    </row>
    <row r="708" ht="15.75" customHeight="1">
      <c r="A708" s="17" t="s">
        <v>341</v>
      </c>
      <c r="B708" s="17" t="s">
        <v>18</v>
      </c>
      <c r="C708" s="17" t="s">
        <v>230</v>
      </c>
      <c r="D708" s="17" t="s">
        <v>231</v>
      </c>
      <c r="E708" s="17" t="s">
        <v>232</v>
      </c>
      <c r="F708" s="17" t="str">
        <f t="array" ref="F708">IFERROR(INDEX(PL4_TONG_HOP!$S$2:$S$5000,MATCH($C708,PL4_TONG_HOP!$A$2:$A$5000,0)),"")</f>
        <v/>
      </c>
      <c r="G708" s="17">
        <f>COUNTIFS(FILE_UPLOADS!$B:$B,$A708,FILE_UPLOADS!$D:$D,$C708)</f>
        <v>0</v>
      </c>
      <c r="H708" s="17" t="str">
        <f t="shared" si="1"/>
        <v/>
      </c>
    </row>
    <row r="709" ht="15.75" customHeight="1">
      <c r="A709" s="17" t="s">
        <v>341</v>
      </c>
      <c r="B709" s="17" t="s">
        <v>18</v>
      </c>
      <c r="C709" s="17" t="s">
        <v>236</v>
      </c>
      <c r="D709" s="17" t="s">
        <v>237</v>
      </c>
      <c r="E709" s="17" t="s">
        <v>238</v>
      </c>
      <c r="F709" s="17" t="str">
        <f t="array" ref="F709">IFERROR(INDEX(PL4_TONG_HOP!$S$2:$S$5000,MATCH($C709,PL4_TONG_HOP!$A$2:$A$5000,0)),"")</f>
        <v/>
      </c>
      <c r="G709" s="17">
        <f>COUNTIFS(FILE_UPLOADS!$B:$B,$A709,FILE_UPLOADS!$D:$D,$C709)</f>
        <v>0</v>
      </c>
      <c r="H709" s="17" t="str">
        <f t="shared" si="1"/>
        <v/>
      </c>
    </row>
    <row r="710" ht="15.75" customHeight="1">
      <c r="A710" s="17" t="s">
        <v>341</v>
      </c>
      <c r="B710" s="17" t="s">
        <v>18</v>
      </c>
      <c r="C710" s="17" t="s">
        <v>239</v>
      </c>
      <c r="D710" s="17" t="s">
        <v>240</v>
      </c>
      <c r="E710" s="17" t="s">
        <v>241</v>
      </c>
      <c r="F710" s="17" t="str">
        <f t="array" ref="F710">IFERROR(INDEX(PL4_TONG_HOP!$S$2:$S$5000,MATCH($C710,PL4_TONG_HOP!$A$2:$A$5000,0)),"")</f>
        <v/>
      </c>
      <c r="G710" s="17">
        <f>COUNTIFS(FILE_UPLOADS!$B:$B,$A710,FILE_UPLOADS!$D:$D,$C710)</f>
        <v>0</v>
      </c>
      <c r="H710" s="17" t="str">
        <f t="shared" si="1"/>
        <v/>
      </c>
    </row>
    <row r="711" ht="15.75" customHeight="1">
      <c r="A711" s="17" t="s">
        <v>341</v>
      </c>
      <c r="B711" s="17" t="s">
        <v>18</v>
      </c>
      <c r="C711" s="17" t="s">
        <v>242</v>
      </c>
      <c r="D711" s="17" t="s">
        <v>243</v>
      </c>
      <c r="E711" s="17" t="s">
        <v>244</v>
      </c>
      <c r="F711" s="17" t="str">
        <f t="array" ref="F711">IFERROR(INDEX(PL4_TONG_HOP!$S$2:$S$5000,MATCH($C711,PL4_TONG_HOP!$A$2:$A$5000,0)),"")</f>
        <v/>
      </c>
      <c r="G711" s="17">
        <f>COUNTIFS(FILE_UPLOADS!$B:$B,$A711,FILE_UPLOADS!$D:$D,$C711)</f>
        <v>0</v>
      </c>
      <c r="H711" s="17" t="str">
        <f t="shared" si="1"/>
        <v/>
      </c>
    </row>
    <row r="712" ht="15.75" customHeight="1">
      <c r="A712" s="17" t="s">
        <v>341</v>
      </c>
      <c r="B712" s="17" t="s">
        <v>18</v>
      </c>
      <c r="C712" s="17" t="s">
        <v>248</v>
      </c>
      <c r="D712" s="17" t="s">
        <v>249</v>
      </c>
      <c r="E712" s="17" t="s">
        <v>250</v>
      </c>
      <c r="F712" s="17" t="str">
        <f t="array" ref="F712">IFERROR(INDEX(PL4_TONG_HOP!$S$2:$S$5000,MATCH($C712,PL4_TONG_HOP!$A$2:$A$5000,0)),"")</f>
        <v/>
      </c>
      <c r="G712" s="17">
        <f>COUNTIFS(FILE_UPLOADS!$B:$B,$A712,FILE_UPLOADS!$D:$D,$C712)</f>
        <v>0</v>
      </c>
      <c r="H712" s="17" t="str">
        <f t="shared" si="1"/>
        <v/>
      </c>
    </row>
    <row r="713" ht="15.75" customHeight="1">
      <c r="A713" s="17" t="s">
        <v>341</v>
      </c>
      <c r="B713" s="17" t="s">
        <v>18</v>
      </c>
      <c r="C713" s="17" t="s">
        <v>251</v>
      </c>
      <c r="D713" s="17" t="s">
        <v>252</v>
      </c>
      <c r="E713" s="17" t="s">
        <v>253</v>
      </c>
      <c r="F713" s="17" t="str">
        <f t="array" ref="F713">IFERROR(INDEX(PL4_TONG_HOP!$S$2:$S$5000,MATCH($C713,PL4_TONG_HOP!$A$2:$A$5000,0)),"")</f>
        <v/>
      </c>
      <c r="G713" s="17">
        <f>COUNTIFS(FILE_UPLOADS!$B:$B,$A713,FILE_UPLOADS!$D:$D,$C713)</f>
        <v>0</v>
      </c>
      <c r="H713" s="17" t="str">
        <f t="shared" si="1"/>
        <v/>
      </c>
    </row>
    <row r="714" ht="15.75" customHeight="1">
      <c r="A714" s="17" t="s">
        <v>341</v>
      </c>
      <c r="B714" s="17" t="s">
        <v>18</v>
      </c>
      <c r="C714" s="17" t="s">
        <v>254</v>
      </c>
      <c r="D714" s="17" t="s">
        <v>255</v>
      </c>
      <c r="E714" s="17" t="s">
        <v>256</v>
      </c>
      <c r="F714" s="17" t="str">
        <f t="array" ref="F714">IFERROR(INDEX(PL4_TONG_HOP!$S$2:$S$5000,MATCH($C714,PL4_TONG_HOP!$A$2:$A$5000,0)),"")</f>
        <v/>
      </c>
      <c r="G714" s="17">
        <f>COUNTIFS(FILE_UPLOADS!$B:$B,$A714,FILE_UPLOADS!$D:$D,$C714)</f>
        <v>0</v>
      </c>
      <c r="H714" s="17" t="str">
        <f t="shared" si="1"/>
        <v/>
      </c>
    </row>
    <row r="715" ht="15.75" customHeight="1">
      <c r="A715" s="17" t="s">
        <v>341</v>
      </c>
      <c r="B715" s="17" t="s">
        <v>18</v>
      </c>
      <c r="C715" s="17" t="s">
        <v>260</v>
      </c>
      <c r="D715" s="17" t="s">
        <v>261</v>
      </c>
      <c r="E715" s="17" t="s">
        <v>262</v>
      </c>
      <c r="F715" s="17" t="str">
        <f t="array" ref="F715">IFERROR(INDEX(PL4_TONG_HOP!$S$2:$S$5000,MATCH($C715,PL4_TONG_HOP!$A$2:$A$5000,0)),"")</f>
        <v/>
      </c>
      <c r="G715" s="17">
        <f>COUNTIFS(FILE_UPLOADS!$B:$B,$A715,FILE_UPLOADS!$D:$D,$C715)</f>
        <v>0</v>
      </c>
      <c r="H715" s="17" t="str">
        <f t="shared" si="1"/>
        <v/>
      </c>
    </row>
    <row r="716" ht="15.75" customHeight="1">
      <c r="A716" s="17" t="s">
        <v>341</v>
      </c>
      <c r="B716" s="17" t="s">
        <v>18</v>
      </c>
      <c r="C716" s="17" t="s">
        <v>263</v>
      </c>
      <c r="D716" s="17" t="s">
        <v>264</v>
      </c>
      <c r="E716" s="17" t="s">
        <v>265</v>
      </c>
      <c r="F716" s="17" t="str">
        <f t="array" ref="F716">IFERROR(INDEX(PL4_TONG_HOP!$S$2:$S$5000,MATCH($C716,PL4_TONG_HOP!$A$2:$A$5000,0)),"")</f>
        <v/>
      </c>
      <c r="G716" s="17">
        <f>COUNTIFS(FILE_UPLOADS!$B:$B,$A716,FILE_UPLOADS!$D:$D,$C716)</f>
        <v>0</v>
      </c>
      <c r="H716" s="17" t="str">
        <f t="shared" si="1"/>
        <v/>
      </c>
    </row>
    <row r="717" ht="15.75" customHeight="1">
      <c r="A717" s="17" t="s">
        <v>341</v>
      </c>
      <c r="B717" s="17" t="s">
        <v>18</v>
      </c>
      <c r="C717" s="17" t="s">
        <v>266</v>
      </c>
      <c r="D717" s="17" t="s">
        <v>267</v>
      </c>
      <c r="E717" s="17" t="s">
        <v>268</v>
      </c>
      <c r="F717" s="17" t="str">
        <f t="array" ref="F717">IFERROR(INDEX(PL4_TONG_HOP!$S$2:$S$5000,MATCH($C717,PL4_TONG_HOP!$A$2:$A$5000,0)),"")</f>
        <v/>
      </c>
      <c r="G717" s="17">
        <f>COUNTIFS(FILE_UPLOADS!$B:$B,$A717,FILE_UPLOADS!$D:$D,$C717)</f>
        <v>0</v>
      </c>
      <c r="H717" s="17" t="str">
        <f t="shared" si="1"/>
        <v/>
      </c>
    </row>
    <row r="718" ht="15.75" customHeight="1">
      <c r="A718" s="17" t="s">
        <v>341</v>
      </c>
      <c r="B718" s="17" t="s">
        <v>18</v>
      </c>
      <c r="C718" s="17" t="s">
        <v>269</v>
      </c>
      <c r="D718" s="17" t="s">
        <v>270</v>
      </c>
      <c r="E718" s="17" t="s">
        <v>271</v>
      </c>
      <c r="F718" s="17" t="str">
        <f t="array" ref="F718">IFERROR(INDEX(PL4_TONG_HOP!$S$2:$S$5000,MATCH($C718,PL4_TONG_HOP!$A$2:$A$5000,0)),"")</f>
        <v/>
      </c>
      <c r="G718" s="17">
        <f>COUNTIFS(FILE_UPLOADS!$B:$B,$A718,FILE_UPLOADS!$D:$D,$C718)</f>
        <v>0</v>
      </c>
      <c r="H718" s="17" t="str">
        <f t="shared" si="1"/>
        <v/>
      </c>
    </row>
    <row r="719" ht="15.75" customHeight="1">
      <c r="A719" s="17" t="s">
        <v>341</v>
      </c>
      <c r="B719" s="17" t="s">
        <v>18</v>
      </c>
      <c r="C719" s="17" t="s">
        <v>272</v>
      </c>
      <c r="D719" s="17" t="s">
        <v>273</v>
      </c>
      <c r="E719" s="17" t="s">
        <v>274</v>
      </c>
      <c r="F719" s="17" t="str">
        <f t="array" ref="F719">IFERROR(INDEX(PL4_TONG_HOP!$S$2:$S$5000,MATCH($C719,PL4_TONG_HOP!$A$2:$A$5000,0)),"")</f>
        <v/>
      </c>
      <c r="G719" s="17">
        <f>COUNTIFS(FILE_UPLOADS!$B:$B,$A719,FILE_UPLOADS!$D:$D,$C719)</f>
        <v>0</v>
      </c>
      <c r="H719" s="17" t="str">
        <f t="shared" si="1"/>
        <v/>
      </c>
    </row>
    <row r="720" ht="15.75" customHeight="1">
      <c r="A720" s="17" t="s">
        <v>341</v>
      </c>
      <c r="B720" s="17" t="s">
        <v>18</v>
      </c>
      <c r="C720" s="17" t="s">
        <v>275</v>
      </c>
      <c r="D720" s="17" t="s">
        <v>276</v>
      </c>
      <c r="E720" s="17" t="s">
        <v>277</v>
      </c>
      <c r="F720" s="17" t="str">
        <f t="array" ref="F720">IFERROR(INDEX(PL4_TONG_HOP!$S$2:$S$5000,MATCH($C720,PL4_TONG_HOP!$A$2:$A$5000,0)),"")</f>
        <v/>
      </c>
      <c r="G720" s="17">
        <f>COUNTIFS(FILE_UPLOADS!$B:$B,$A720,FILE_UPLOADS!$D:$D,$C720)</f>
        <v>0</v>
      </c>
      <c r="H720" s="17" t="str">
        <f t="shared" si="1"/>
        <v/>
      </c>
    </row>
    <row r="721" ht="15.75" customHeight="1">
      <c r="A721" s="17" t="s">
        <v>341</v>
      </c>
      <c r="B721" s="17" t="s">
        <v>18</v>
      </c>
      <c r="C721" s="17" t="s">
        <v>278</v>
      </c>
      <c r="D721" s="17" t="s">
        <v>279</v>
      </c>
      <c r="E721" s="17" t="s">
        <v>280</v>
      </c>
      <c r="F721" s="17" t="str">
        <f t="array" ref="F721">IFERROR(INDEX(PL4_TONG_HOP!$S$2:$S$5000,MATCH($C721,PL4_TONG_HOP!$A$2:$A$5000,0)),"")</f>
        <v/>
      </c>
      <c r="G721" s="17">
        <f>COUNTIFS(FILE_UPLOADS!$B:$B,$A721,FILE_UPLOADS!$D:$D,$C721)</f>
        <v>0</v>
      </c>
      <c r="H721" s="17" t="str">
        <f t="shared" si="1"/>
        <v/>
      </c>
    </row>
    <row r="722" ht="15.75" customHeight="1">
      <c r="A722" s="17" t="s">
        <v>341</v>
      </c>
      <c r="B722" s="17" t="s">
        <v>18</v>
      </c>
      <c r="C722" s="17" t="s">
        <v>281</v>
      </c>
      <c r="D722" s="17" t="s">
        <v>282</v>
      </c>
      <c r="E722" s="17" t="s">
        <v>283</v>
      </c>
      <c r="F722" s="17" t="str">
        <f t="array" ref="F722">IFERROR(INDEX(PL4_TONG_HOP!$S$2:$S$5000,MATCH($C722,PL4_TONG_HOP!$A$2:$A$5000,0)),"")</f>
        <v/>
      </c>
      <c r="G722" s="17">
        <f>COUNTIFS(FILE_UPLOADS!$B:$B,$A722,FILE_UPLOADS!$D:$D,$C722)</f>
        <v>0</v>
      </c>
      <c r="H722" s="17" t="str">
        <f t="shared" si="1"/>
        <v/>
      </c>
    </row>
    <row r="723" ht="15.75" customHeight="1">
      <c r="A723" s="17" t="s">
        <v>341</v>
      </c>
      <c r="B723" s="17" t="s">
        <v>18</v>
      </c>
      <c r="C723" s="17" t="s">
        <v>290</v>
      </c>
      <c r="D723" s="17" t="s">
        <v>291</v>
      </c>
      <c r="E723" s="17" t="s">
        <v>292</v>
      </c>
      <c r="F723" s="17" t="str">
        <f t="array" ref="F723">IFERROR(INDEX(PL4_TONG_HOP!$S$2:$S$5000,MATCH($C723,PL4_TONG_HOP!$A$2:$A$5000,0)),"")</f>
        <v/>
      </c>
      <c r="G723" s="17">
        <f>COUNTIFS(FILE_UPLOADS!$B:$B,$A723,FILE_UPLOADS!$D:$D,$C723)</f>
        <v>0</v>
      </c>
      <c r="H723" s="17" t="str">
        <f t="shared" si="1"/>
        <v/>
      </c>
    </row>
    <row r="724" ht="15.75" customHeight="1">
      <c r="A724" s="17" t="s">
        <v>341</v>
      </c>
      <c r="B724" s="17" t="s">
        <v>18</v>
      </c>
      <c r="C724" s="17" t="s">
        <v>293</v>
      </c>
      <c r="D724" s="17" t="s">
        <v>294</v>
      </c>
      <c r="E724" s="17" t="s">
        <v>295</v>
      </c>
      <c r="F724" s="17" t="str">
        <f t="array" ref="F724">IFERROR(INDEX(PL4_TONG_HOP!$S$2:$S$5000,MATCH($C724,PL4_TONG_HOP!$A$2:$A$5000,0)),"")</f>
        <v/>
      </c>
      <c r="G724" s="17">
        <f>COUNTIFS(FILE_UPLOADS!$B:$B,$A724,FILE_UPLOADS!$D:$D,$C724)</f>
        <v>0</v>
      </c>
      <c r="H724" s="17" t="str">
        <f t="shared" si="1"/>
        <v/>
      </c>
    </row>
    <row r="725" ht="15.75" customHeight="1">
      <c r="A725" s="17" t="s">
        <v>341</v>
      </c>
      <c r="B725" s="17" t="s">
        <v>18</v>
      </c>
      <c r="C725" s="17" t="s">
        <v>299</v>
      </c>
      <c r="D725" s="17" t="s">
        <v>300</v>
      </c>
      <c r="E725" s="17" t="s">
        <v>301</v>
      </c>
      <c r="F725" s="17" t="str">
        <f t="array" ref="F725">IFERROR(INDEX(PL4_TONG_HOP!$S$2:$S$5000,MATCH($C725,PL4_TONG_HOP!$A$2:$A$5000,0)),"")</f>
        <v/>
      </c>
      <c r="G725" s="17">
        <f>COUNTIFS(FILE_UPLOADS!$B:$B,$A725,FILE_UPLOADS!$D:$D,$C725)</f>
        <v>0</v>
      </c>
      <c r="H725" s="17" t="str">
        <f t="shared" si="1"/>
        <v/>
      </c>
    </row>
    <row r="726" ht="15.75" customHeight="1">
      <c r="A726" s="17" t="s">
        <v>341</v>
      </c>
      <c r="B726" s="17" t="s">
        <v>18</v>
      </c>
      <c r="C726" s="17" t="s">
        <v>302</v>
      </c>
      <c r="D726" s="17" t="s">
        <v>303</v>
      </c>
      <c r="E726" s="17" t="s">
        <v>304</v>
      </c>
      <c r="F726" s="17" t="str">
        <f t="array" ref="F726">IFERROR(INDEX(PL4_TONG_HOP!$S$2:$S$5000,MATCH($C726,PL4_TONG_HOP!$A$2:$A$5000,0)),"")</f>
        <v/>
      </c>
      <c r="G726" s="17">
        <f>COUNTIFS(FILE_UPLOADS!$B:$B,$A726,FILE_UPLOADS!$D:$D,$C726)</f>
        <v>0</v>
      </c>
      <c r="H726" s="17" t="str">
        <f t="shared" si="1"/>
        <v/>
      </c>
    </row>
    <row r="727" ht="15.75" customHeight="1">
      <c r="A727" s="17" t="s">
        <v>341</v>
      </c>
      <c r="B727" s="17" t="s">
        <v>18</v>
      </c>
      <c r="C727" s="17" t="s">
        <v>308</v>
      </c>
      <c r="D727" s="17" t="s">
        <v>309</v>
      </c>
      <c r="E727" s="17" t="s">
        <v>310</v>
      </c>
      <c r="F727" s="17" t="str">
        <f t="array" ref="F727">IFERROR(INDEX(PL4_TONG_HOP!$S$2:$S$5000,MATCH($C727,PL4_TONG_HOP!$A$2:$A$5000,0)),"")</f>
        <v/>
      </c>
      <c r="G727" s="17">
        <f>COUNTIFS(FILE_UPLOADS!$B:$B,$A727,FILE_UPLOADS!$D:$D,$C727)</f>
        <v>0</v>
      </c>
      <c r="H727" s="17" t="str">
        <f t="shared" si="1"/>
        <v/>
      </c>
    </row>
    <row r="728" ht="15.75" customHeight="1">
      <c r="A728" s="17" t="s">
        <v>341</v>
      </c>
      <c r="B728" s="17" t="s">
        <v>18</v>
      </c>
      <c r="C728" s="17" t="s">
        <v>311</v>
      </c>
      <c r="D728" s="17" t="s">
        <v>312</v>
      </c>
      <c r="E728" s="17" t="s">
        <v>313</v>
      </c>
      <c r="F728" s="17" t="str">
        <f t="array" ref="F728">IFERROR(INDEX(PL4_TONG_HOP!$S$2:$S$5000,MATCH($C728,PL4_TONG_HOP!$A$2:$A$5000,0)),"")</f>
        <v/>
      </c>
      <c r="G728" s="17">
        <f>COUNTIFS(FILE_UPLOADS!$B:$B,$A728,FILE_UPLOADS!$D:$D,$C728)</f>
        <v>0</v>
      </c>
      <c r="H728" s="17" t="str">
        <f t="shared" si="1"/>
        <v/>
      </c>
    </row>
    <row r="729" ht="15.75" customHeight="1">
      <c r="A729" s="17" t="s">
        <v>341</v>
      </c>
      <c r="B729" s="17" t="s">
        <v>18</v>
      </c>
      <c r="C729" s="17" t="s">
        <v>314</v>
      </c>
      <c r="D729" s="17" t="s">
        <v>315</v>
      </c>
      <c r="E729" s="17" t="s">
        <v>316</v>
      </c>
      <c r="F729" s="17" t="str">
        <f t="array" ref="F729">IFERROR(INDEX(PL4_TONG_HOP!$S$2:$S$5000,MATCH($C729,PL4_TONG_HOP!$A$2:$A$5000,0)),"")</f>
        <v/>
      </c>
      <c r="G729" s="17">
        <f>COUNTIFS(FILE_UPLOADS!$B:$B,$A729,FILE_UPLOADS!$D:$D,$C729)</f>
        <v>0</v>
      </c>
      <c r="H729" s="17" t="str">
        <f t="shared" si="1"/>
        <v/>
      </c>
    </row>
    <row r="730" ht="15.75" customHeight="1">
      <c r="A730" s="17" t="s">
        <v>342</v>
      </c>
      <c r="B730" s="17" t="s">
        <v>19</v>
      </c>
      <c r="C730" s="17" t="s">
        <v>46</v>
      </c>
      <c r="D730" s="17" t="s">
        <v>47</v>
      </c>
      <c r="E730" s="17" t="s">
        <v>48</v>
      </c>
      <c r="F730" s="17" t="str">
        <f t="array" ref="F730">IFERROR(INDEX(PL4_TONG_HOP!$T$2:$T$5000,MATCH($C730,PL4_TONG_HOP!$A$2:$A$5000,0)),"")</f>
        <v/>
      </c>
      <c r="G730" s="17">
        <f>COUNTIFS(FILE_UPLOADS!$B:$B,$A730,FILE_UPLOADS!$D:$D,$C730)</f>
        <v>0</v>
      </c>
      <c r="H730" s="17" t="str">
        <f t="shared" si="1"/>
        <v/>
      </c>
    </row>
    <row r="731" ht="15.75" customHeight="1">
      <c r="A731" s="17" t="s">
        <v>342</v>
      </c>
      <c r="B731" s="17" t="s">
        <v>19</v>
      </c>
      <c r="C731" s="17" t="s">
        <v>78</v>
      </c>
      <c r="D731" s="17" t="s">
        <v>79</v>
      </c>
      <c r="E731" s="17" t="s">
        <v>80</v>
      </c>
      <c r="F731" s="17" t="str">
        <f t="array" ref="F731">IFERROR(INDEX(PL4_TONG_HOP!$T$2:$T$5000,MATCH($C731,PL4_TONG_HOP!$A$2:$A$5000,0)),"")</f>
        <v/>
      </c>
      <c r="G731" s="17">
        <f>COUNTIFS(FILE_UPLOADS!$B:$B,$A731,FILE_UPLOADS!$D:$D,$C731)</f>
        <v>0</v>
      </c>
      <c r="H731" s="17" t="str">
        <f t="shared" si="1"/>
        <v/>
      </c>
    </row>
    <row r="732" ht="15.75" customHeight="1">
      <c r="A732" s="17" t="s">
        <v>342</v>
      </c>
      <c r="B732" s="17" t="s">
        <v>19</v>
      </c>
      <c r="C732" s="17" t="s">
        <v>81</v>
      </c>
      <c r="D732" s="17" t="s">
        <v>82</v>
      </c>
      <c r="E732" s="17" t="s">
        <v>83</v>
      </c>
      <c r="F732" s="17" t="str">
        <f t="array" ref="F732">IFERROR(INDEX(PL4_TONG_HOP!$T$2:$T$5000,MATCH($C732,PL4_TONG_HOP!$A$2:$A$5000,0)),"")</f>
        <v/>
      </c>
      <c r="G732" s="17">
        <f>COUNTIFS(FILE_UPLOADS!$B:$B,$A732,FILE_UPLOADS!$D:$D,$C732)</f>
        <v>0</v>
      </c>
      <c r="H732" s="17" t="str">
        <f t="shared" si="1"/>
        <v/>
      </c>
    </row>
    <row r="733" ht="15.75" customHeight="1">
      <c r="A733" s="17" t="s">
        <v>342</v>
      </c>
      <c r="B733" s="17" t="s">
        <v>19</v>
      </c>
      <c r="C733" s="17" t="s">
        <v>87</v>
      </c>
      <c r="D733" s="17" t="s">
        <v>88</v>
      </c>
      <c r="E733" s="17" t="s">
        <v>89</v>
      </c>
      <c r="F733" s="17" t="str">
        <f t="array" ref="F733">IFERROR(INDEX(PL4_TONG_HOP!$T$2:$T$5000,MATCH($C733,PL4_TONG_HOP!$A$2:$A$5000,0)),"")</f>
        <v/>
      </c>
      <c r="G733" s="17">
        <f>COUNTIFS(FILE_UPLOADS!$B:$B,$A733,FILE_UPLOADS!$D:$D,$C733)</f>
        <v>0</v>
      </c>
      <c r="H733" s="17" t="str">
        <f t="shared" si="1"/>
        <v/>
      </c>
    </row>
    <row r="734" ht="15.75" customHeight="1">
      <c r="A734" s="17" t="s">
        <v>342</v>
      </c>
      <c r="B734" s="17" t="s">
        <v>19</v>
      </c>
      <c r="C734" s="17" t="s">
        <v>90</v>
      </c>
      <c r="D734" s="17" t="s">
        <v>91</v>
      </c>
      <c r="E734" s="17" t="s">
        <v>92</v>
      </c>
      <c r="F734" s="17" t="str">
        <f t="array" ref="F734">IFERROR(INDEX(PL4_TONG_HOP!$T$2:$T$5000,MATCH($C734,PL4_TONG_HOP!$A$2:$A$5000,0)),"")</f>
        <v/>
      </c>
      <c r="G734" s="17">
        <f>COUNTIFS(FILE_UPLOADS!$B:$B,$A734,FILE_UPLOADS!$D:$D,$C734)</f>
        <v>0</v>
      </c>
      <c r="H734" s="17" t="str">
        <f t="shared" si="1"/>
        <v/>
      </c>
    </row>
    <row r="735" ht="15.75" customHeight="1">
      <c r="A735" s="17" t="s">
        <v>342</v>
      </c>
      <c r="B735" s="17" t="s">
        <v>19</v>
      </c>
      <c r="C735" s="17" t="s">
        <v>93</v>
      </c>
      <c r="D735" s="17" t="s">
        <v>85</v>
      </c>
      <c r="E735" s="17" t="s">
        <v>94</v>
      </c>
      <c r="F735" s="17" t="str">
        <f t="array" ref="F735">IFERROR(INDEX(PL4_TONG_HOP!$T$2:$T$5000,MATCH($C735,PL4_TONG_HOP!$A$2:$A$5000,0)),"")</f>
        <v/>
      </c>
      <c r="G735" s="17">
        <f>COUNTIFS(FILE_UPLOADS!$B:$B,$A735,FILE_UPLOADS!$D:$D,$C735)</f>
        <v>0</v>
      </c>
      <c r="H735" s="17" t="str">
        <f t="shared" si="1"/>
        <v/>
      </c>
    </row>
    <row r="736" ht="15.75" customHeight="1">
      <c r="A736" s="17" t="s">
        <v>342</v>
      </c>
      <c r="B736" s="17" t="s">
        <v>19</v>
      </c>
      <c r="C736" s="17" t="s">
        <v>95</v>
      </c>
      <c r="D736" s="17" t="s">
        <v>96</v>
      </c>
      <c r="E736" s="17" t="s">
        <v>97</v>
      </c>
      <c r="F736" s="17" t="str">
        <f t="array" ref="F736">IFERROR(INDEX(PL4_TONG_HOP!$T$2:$T$5000,MATCH($C736,PL4_TONG_HOP!$A$2:$A$5000,0)),"")</f>
        <v/>
      </c>
      <c r="G736" s="17">
        <f>COUNTIFS(FILE_UPLOADS!$B:$B,$A736,FILE_UPLOADS!$D:$D,$C736)</f>
        <v>0</v>
      </c>
      <c r="H736" s="17" t="str">
        <f t="shared" si="1"/>
        <v/>
      </c>
    </row>
    <row r="737" ht="15.75" customHeight="1">
      <c r="A737" s="17" t="s">
        <v>342</v>
      </c>
      <c r="B737" s="17" t="s">
        <v>19</v>
      </c>
      <c r="C737" s="17" t="s">
        <v>98</v>
      </c>
      <c r="D737" s="17" t="s">
        <v>99</v>
      </c>
      <c r="E737" s="17" t="s">
        <v>100</v>
      </c>
      <c r="F737" s="17" t="str">
        <f t="array" ref="F737">IFERROR(INDEX(PL4_TONG_HOP!$T$2:$T$5000,MATCH($C737,PL4_TONG_HOP!$A$2:$A$5000,0)),"")</f>
        <v/>
      </c>
      <c r="G737" s="17">
        <f>COUNTIFS(FILE_UPLOADS!$B:$B,$A737,FILE_UPLOADS!$D:$D,$C737)</f>
        <v>0</v>
      </c>
      <c r="H737" s="17" t="str">
        <f t="shared" si="1"/>
        <v/>
      </c>
    </row>
    <row r="738" ht="15.75" customHeight="1">
      <c r="A738" s="17" t="s">
        <v>342</v>
      </c>
      <c r="B738" s="17" t="s">
        <v>19</v>
      </c>
      <c r="C738" s="17" t="s">
        <v>101</v>
      </c>
      <c r="D738" s="17" t="s">
        <v>102</v>
      </c>
      <c r="E738" s="17" t="s">
        <v>103</v>
      </c>
      <c r="F738" s="17" t="str">
        <f t="array" ref="F738">IFERROR(INDEX(PL4_TONG_HOP!$T$2:$T$5000,MATCH($C738,PL4_TONG_HOP!$A$2:$A$5000,0)),"")</f>
        <v/>
      </c>
      <c r="G738" s="17">
        <f>COUNTIFS(FILE_UPLOADS!$B:$B,$A738,FILE_UPLOADS!$D:$D,$C738)</f>
        <v>0</v>
      </c>
      <c r="H738" s="17" t="str">
        <f t="shared" si="1"/>
        <v/>
      </c>
    </row>
    <row r="739" ht="15.75" customHeight="1">
      <c r="A739" s="17" t="s">
        <v>342</v>
      </c>
      <c r="B739" s="17" t="s">
        <v>19</v>
      </c>
      <c r="C739" s="17" t="s">
        <v>113</v>
      </c>
      <c r="D739" s="17" t="s">
        <v>114</v>
      </c>
      <c r="E739" s="17" t="s">
        <v>115</v>
      </c>
      <c r="F739" s="17" t="str">
        <f t="array" ref="F739">IFERROR(INDEX(PL4_TONG_HOP!$T$2:$T$5000,MATCH($C739,PL4_TONG_HOP!$A$2:$A$5000,0)),"")</f>
        <v/>
      </c>
      <c r="G739" s="17">
        <f>COUNTIFS(FILE_UPLOADS!$B:$B,$A739,FILE_UPLOADS!$D:$D,$C739)</f>
        <v>0</v>
      </c>
      <c r="H739" s="17" t="str">
        <f t="shared" si="1"/>
        <v/>
      </c>
    </row>
    <row r="740" ht="15.75" customHeight="1">
      <c r="A740" s="17" t="s">
        <v>342</v>
      </c>
      <c r="B740" s="17" t="s">
        <v>19</v>
      </c>
      <c r="C740" s="17" t="s">
        <v>116</v>
      </c>
      <c r="D740" s="17" t="s">
        <v>117</v>
      </c>
      <c r="E740" s="17" t="s">
        <v>118</v>
      </c>
      <c r="F740" s="17" t="str">
        <f t="array" ref="F740">IFERROR(INDEX(PL4_TONG_HOP!$T$2:$T$5000,MATCH($C740,PL4_TONG_HOP!$A$2:$A$5000,0)),"")</f>
        <v/>
      </c>
      <c r="G740" s="17">
        <f>COUNTIFS(FILE_UPLOADS!$B:$B,$A740,FILE_UPLOADS!$D:$D,$C740)</f>
        <v>0</v>
      </c>
      <c r="H740" s="17" t="str">
        <f t="shared" si="1"/>
        <v/>
      </c>
    </row>
    <row r="741" ht="15.75" customHeight="1">
      <c r="A741" s="17" t="s">
        <v>342</v>
      </c>
      <c r="B741" s="17" t="s">
        <v>19</v>
      </c>
      <c r="C741" s="17" t="s">
        <v>119</v>
      </c>
      <c r="D741" s="17" t="s">
        <v>120</v>
      </c>
      <c r="E741" s="17" t="s">
        <v>121</v>
      </c>
      <c r="F741" s="17" t="str">
        <f t="array" ref="F741">IFERROR(INDEX(PL4_TONG_HOP!$T$2:$T$5000,MATCH($C741,PL4_TONG_HOP!$A$2:$A$5000,0)),"")</f>
        <v/>
      </c>
      <c r="G741" s="17">
        <f>COUNTIFS(FILE_UPLOADS!$B:$B,$A741,FILE_UPLOADS!$D:$D,$C741)</f>
        <v>0</v>
      </c>
      <c r="H741" s="17" t="str">
        <f t="shared" si="1"/>
        <v/>
      </c>
    </row>
    <row r="742" ht="15.75" customHeight="1">
      <c r="A742" s="17" t="s">
        <v>342</v>
      </c>
      <c r="B742" s="17" t="s">
        <v>19</v>
      </c>
      <c r="C742" s="17" t="s">
        <v>122</v>
      </c>
      <c r="D742" s="17" t="s">
        <v>123</v>
      </c>
      <c r="E742" s="17" t="s">
        <v>124</v>
      </c>
      <c r="F742" s="17" t="str">
        <f t="array" ref="F742">IFERROR(INDEX(PL4_TONG_HOP!$T$2:$T$5000,MATCH($C742,PL4_TONG_HOP!$A$2:$A$5000,0)),"")</f>
        <v/>
      </c>
      <c r="G742" s="17">
        <f>COUNTIFS(FILE_UPLOADS!$B:$B,$A742,FILE_UPLOADS!$D:$D,$C742)</f>
        <v>0</v>
      </c>
      <c r="H742" s="17" t="str">
        <f t="shared" si="1"/>
        <v/>
      </c>
    </row>
    <row r="743" ht="15.75" customHeight="1">
      <c r="A743" s="17" t="s">
        <v>342</v>
      </c>
      <c r="B743" s="17" t="s">
        <v>19</v>
      </c>
      <c r="C743" s="17" t="s">
        <v>125</v>
      </c>
      <c r="D743" s="17" t="s">
        <v>126</v>
      </c>
      <c r="E743" s="17" t="s">
        <v>127</v>
      </c>
      <c r="F743" s="17" t="str">
        <f t="array" ref="F743">IFERROR(INDEX(PL4_TONG_HOP!$T$2:$T$5000,MATCH($C743,PL4_TONG_HOP!$A$2:$A$5000,0)),"")</f>
        <v/>
      </c>
      <c r="G743" s="17">
        <f>COUNTIFS(FILE_UPLOADS!$B:$B,$A743,FILE_UPLOADS!$D:$D,$C743)</f>
        <v>0</v>
      </c>
      <c r="H743" s="17" t="str">
        <f t="shared" si="1"/>
        <v/>
      </c>
    </row>
    <row r="744" ht="15.75" customHeight="1">
      <c r="A744" s="17" t="s">
        <v>342</v>
      </c>
      <c r="B744" s="17" t="s">
        <v>19</v>
      </c>
      <c r="C744" s="17" t="s">
        <v>128</v>
      </c>
      <c r="D744" s="17" t="s">
        <v>129</v>
      </c>
      <c r="E744" s="17" t="s">
        <v>130</v>
      </c>
      <c r="F744" s="17" t="str">
        <f t="array" ref="F744">IFERROR(INDEX(PL4_TONG_HOP!$T$2:$T$5000,MATCH($C744,PL4_TONG_HOP!$A$2:$A$5000,0)),"")</f>
        <v/>
      </c>
      <c r="G744" s="17">
        <f>COUNTIFS(FILE_UPLOADS!$B:$B,$A744,FILE_UPLOADS!$D:$D,$C744)</f>
        <v>0</v>
      </c>
      <c r="H744" s="17" t="str">
        <f t="shared" si="1"/>
        <v/>
      </c>
    </row>
    <row r="745" ht="15.75" customHeight="1">
      <c r="A745" s="17" t="s">
        <v>342</v>
      </c>
      <c r="B745" s="17" t="s">
        <v>19</v>
      </c>
      <c r="C745" s="17" t="s">
        <v>131</v>
      </c>
      <c r="D745" s="17" t="s">
        <v>132</v>
      </c>
      <c r="E745" s="17" t="s">
        <v>133</v>
      </c>
      <c r="F745" s="17" t="str">
        <f t="array" ref="F745">IFERROR(INDEX(PL4_TONG_HOP!$T$2:$T$5000,MATCH($C745,PL4_TONG_HOP!$A$2:$A$5000,0)),"")</f>
        <v/>
      </c>
      <c r="G745" s="17">
        <f>COUNTIFS(FILE_UPLOADS!$B:$B,$A745,FILE_UPLOADS!$D:$D,$C745)</f>
        <v>0</v>
      </c>
      <c r="H745" s="17" t="str">
        <f t="shared" si="1"/>
        <v/>
      </c>
    </row>
    <row r="746" ht="15.75" customHeight="1">
      <c r="A746" s="17" t="s">
        <v>342</v>
      </c>
      <c r="B746" s="17" t="s">
        <v>19</v>
      </c>
      <c r="C746" s="17" t="s">
        <v>134</v>
      </c>
      <c r="D746" s="17" t="s">
        <v>135</v>
      </c>
      <c r="E746" s="17" t="s">
        <v>136</v>
      </c>
      <c r="F746" s="17" t="str">
        <f t="array" ref="F746">IFERROR(INDEX(PL4_TONG_HOP!$T$2:$T$5000,MATCH($C746,PL4_TONG_HOP!$A$2:$A$5000,0)),"")</f>
        <v/>
      </c>
      <c r="G746" s="17">
        <f>COUNTIFS(FILE_UPLOADS!$B:$B,$A746,FILE_UPLOADS!$D:$D,$C746)</f>
        <v>0</v>
      </c>
      <c r="H746" s="17" t="str">
        <f t="shared" si="1"/>
        <v/>
      </c>
    </row>
    <row r="747" ht="15.75" customHeight="1">
      <c r="A747" s="17" t="s">
        <v>342</v>
      </c>
      <c r="B747" s="17" t="s">
        <v>19</v>
      </c>
      <c r="C747" s="17" t="s">
        <v>140</v>
      </c>
      <c r="D747" s="17" t="s">
        <v>141</v>
      </c>
      <c r="E747" s="17" t="s">
        <v>142</v>
      </c>
      <c r="F747" s="17" t="str">
        <f t="array" ref="F747">IFERROR(INDEX(PL4_TONG_HOP!$T$2:$T$5000,MATCH($C747,PL4_TONG_HOP!$A$2:$A$5000,0)),"")</f>
        <v/>
      </c>
      <c r="G747" s="17">
        <f>COUNTIFS(FILE_UPLOADS!$B:$B,$A747,FILE_UPLOADS!$D:$D,$C747)</f>
        <v>0</v>
      </c>
      <c r="H747" s="17" t="str">
        <f t="shared" si="1"/>
        <v/>
      </c>
    </row>
    <row r="748" ht="15.75" customHeight="1">
      <c r="A748" s="17" t="s">
        <v>342</v>
      </c>
      <c r="B748" s="17" t="s">
        <v>19</v>
      </c>
      <c r="C748" s="17" t="s">
        <v>143</v>
      </c>
      <c r="D748" s="17" t="s">
        <v>144</v>
      </c>
      <c r="E748" s="17" t="s">
        <v>145</v>
      </c>
      <c r="F748" s="17" t="str">
        <f t="array" ref="F748">IFERROR(INDEX(PL4_TONG_HOP!$T$2:$T$5000,MATCH($C748,PL4_TONG_HOP!$A$2:$A$5000,0)),"")</f>
        <v/>
      </c>
      <c r="G748" s="17">
        <f>COUNTIFS(FILE_UPLOADS!$B:$B,$A748,FILE_UPLOADS!$D:$D,$C748)</f>
        <v>0</v>
      </c>
      <c r="H748" s="17" t="str">
        <f t="shared" si="1"/>
        <v/>
      </c>
    </row>
    <row r="749" ht="15.75" customHeight="1">
      <c r="A749" s="17" t="s">
        <v>342</v>
      </c>
      <c r="B749" s="17" t="s">
        <v>19</v>
      </c>
      <c r="C749" s="17" t="s">
        <v>149</v>
      </c>
      <c r="D749" s="17" t="s">
        <v>150</v>
      </c>
      <c r="E749" s="17" t="s">
        <v>151</v>
      </c>
      <c r="F749" s="17" t="str">
        <f t="array" ref="F749">IFERROR(INDEX(PL4_TONG_HOP!$T$2:$T$5000,MATCH($C749,PL4_TONG_HOP!$A$2:$A$5000,0)),"")</f>
        <v/>
      </c>
      <c r="G749" s="17">
        <f>COUNTIFS(FILE_UPLOADS!$B:$B,$A749,FILE_UPLOADS!$D:$D,$C749)</f>
        <v>0</v>
      </c>
      <c r="H749" s="17" t="str">
        <f t="shared" si="1"/>
        <v/>
      </c>
    </row>
    <row r="750" ht="15.75" customHeight="1">
      <c r="A750" s="17" t="s">
        <v>342</v>
      </c>
      <c r="B750" s="17" t="s">
        <v>19</v>
      </c>
      <c r="C750" s="17" t="s">
        <v>152</v>
      </c>
      <c r="D750" s="17" t="s">
        <v>153</v>
      </c>
      <c r="E750" s="17" t="s">
        <v>154</v>
      </c>
      <c r="F750" s="17" t="str">
        <f t="array" ref="F750">IFERROR(INDEX(PL4_TONG_HOP!$T$2:$T$5000,MATCH($C750,PL4_TONG_HOP!$A$2:$A$5000,0)),"")</f>
        <v/>
      </c>
      <c r="G750" s="17">
        <f>COUNTIFS(FILE_UPLOADS!$B:$B,$A750,FILE_UPLOADS!$D:$D,$C750)</f>
        <v>0</v>
      </c>
      <c r="H750" s="17" t="str">
        <f t="shared" si="1"/>
        <v/>
      </c>
    </row>
    <row r="751" ht="15.75" customHeight="1">
      <c r="A751" s="17" t="s">
        <v>342</v>
      </c>
      <c r="B751" s="17" t="s">
        <v>19</v>
      </c>
      <c r="C751" s="17" t="s">
        <v>155</v>
      </c>
      <c r="D751" s="17" t="s">
        <v>156</v>
      </c>
      <c r="E751" s="17" t="s">
        <v>157</v>
      </c>
      <c r="F751" s="17" t="str">
        <f t="array" ref="F751">IFERROR(INDEX(PL4_TONG_HOP!$T$2:$T$5000,MATCH($C751,PL4_TONG_HOP!$A$2:$A$5000,0)),"")</f>
        <v/>
      </c>
      <c r="G751" s="17">
        <f>COUNTIFS(FILE_UPLOADS!$B:$B,$A751,FILE_UPLOADS!$D:$D,$C751)</f>
        <v>0</v>
      </c>
      <c r="H751" s="17" t="str">
        <f t="shared" si="1"/>
        <v/>
      </c>
    </row>
    <row r="752" ht="15.75" customHeight="1">
      <c r="A752" s="17" t="s">
        <v>342</v>
      </c>
      <c r="B752" s="17" t="s">
        <v>19</v>
      </c>
      <c r="C752" s="17" t="s">
        <v>161</v>
      </c>
      <c r="D752" s="17" t="s">
        <v>162</v>
      </c>
      <c r="E752" s="17" t="s">
        <v>163</v>
      </c>
      <c r="F752" s="17" t="str">
        <f t="array" ref="F752">IFERROR(INDEX(PL4_TONG_HOP!$T$2:$T$5000,MATCH($C752,PL4_TONG_HOP!$A$2:$A$5000,0)),"")</f>
        <v/>
      </c>
      <c r="G752" s="17">
        <f>COUNTIFS(FILE_UPLOADS!$B:$B,$A752,FILE_UPLOADS!$D:$D,$C752)</f>
        <v>0</v>
      </c>
      <c r="H752" s="17" t="str">
        <f t="shared" si="1"/>
        <v/>
      </c>
    </row>
    <row r="753" ht="15.75" customHeight="1">
      <c r="A753" s="17" t="s">
        <v>342</v>
      </c>
      <c r="B753" s="17" t="s">
        <v>19</v>
      </c>
      <c r="C753" s="17" t="s">
        <v>164</v>
      </c>
      <c r="D753" s="17" t="s">
        <v>165</v>
      </c>
      <c r="E753" s="17" t="s">
        <v>166</v>
      </c>
      <c r="F753" s="17" t="str">
        <f t="array" ref="F753">IFERROR(INDEX(PL4_TONG_HOP!$T$2:$T$5000,MATCH($C753,PL4_TONG_HOP!$A$2:$A$5000,0)),"")</f>
        <v/>
      </c>
      <c r="G753" s="17">
        <f>COUNTIFS(FILE_UPLOADS!$B:$B,$A753,FILE_UPLOADS!$D:$D,$C753)</f>
        <v>0</v>
      </c>
      <c r="H753" s="17" t="str">
        <f t="shared" si="1"/>
        <v/>
      </c>
    </row>
    <row r="754" ht="15.75" customHeight="1">
      <c r="A754" s="17" t="s">
        <v>342</v>
      </c>
      <c r="B754" s="17" t="s">
        <v>19</v>
      </c>
      <c r="C754" s="17" t="s">
        <v>167</v>
      </c>
      <c r="D754" s="17" t="s">
        <v>168</v>
      </c>
      <c r="E754" s="17" t="s">
        <v>169</v>
      </c>
      <c r="F754" s="17" t="str">
        <f t="array" ref="F754">IFERROR(INDEX(PL4_TONG_HOP!$T$2:$T$5000,MATCH($C754,PL4_TONG_HOP!$A$2:$A$5000,0)),"")</f>
        <v/>
      </c>
      <c r="G754" s="17">
        <f>COUNTIFS(FILE_UPLOADS!$B:$B,$A754,FILE_UPLOADS!$D:$D,$C754)</f>
        <v>0</v>
      </c>
      <c r="H754" s="17" t="str">
        <f t="shared" si="1"/>
        <v/>
      </c>
    </row>
    <row r="755" ht="15.75" customHeight="1">
      <c r="A755" s="17" t="s">
        <v>342</v>
      </c>
      <c r="B755" s="17" t="s">
        <v>19</v>
      </c>
      <c r="C755" s="17" t="s">
        <v>173</v>
      </c>
      <c r="D755" s="17" t="s">
        <v>174</v>
      </c>
      <c r="E755" s="17" t="s">
        <v>175</v>
      </c>
      <c r="F755" s="17" t="str">
        <f t="array" ref="F755">IFERROR(INDEX(PL4_TONG_HOP!$T$2:$T$5000,MATCH($C755,PL4_TONG_HOP!$A$2:$A$5000,0)),"")</f>
        <v/>
      </c>
      <c r="G755" s="17">
        <f>COUNTIFS(FILE_UPLOADS!$B:$B,$A755,FILE_UPLOADS!$D:$D,$C755)</f>
        <v>0</v>
      </c>
      <c r="H755" s="17" t="str">
        <f t="shared" si="1"/>
        <v/>
      </c>
    </row>
    <row r="756" ht="15.75" customHeight="1">
      <c r="A756" s="17" t="s">
        <v>342</v>
      </c>
      <c r="B756" s="17" t="s">
        <v>19</v>
      </c>
      <c r="C756" s="17" t="s">
        <v>176</v>
      </c>
      <c r="D756" s="17" t="s">
        <v>177</v>
      </c>
      <c r="E756" s="17" t="s">
        <v>178</v>
      </c>
      <c r="F756" s="17" t="str">
        <f t="array" ref="F756">IFERROR(INDEX(PL4_TONG_HOP!$T$2:$T$5000,MATCH($C756,PL4_TONG_HOP!$A$2:$A$5000,0)),"")</f>
        <v/>
      </c>
      <c r="G756" s="17">
        <f>COUNTIFS(FILE_UPLOADS!$B:$B,$A756,FILE_UPLOADS!$D:$D,$C756)</f>
        <v>0</v>
      </c>
      <c r="H756" s="17" t="str">
        <f t="shared" si="1"/>
        <v/>
      </c>
    </row>
    <row r="757" ht="15.75" customHeight="1">
      <c r="A757" s="17" t="s">
        <v>342</v>
      </c>
      <c r="B757" s="17" t="s">
        <v>19</v>
      </c>
      <c r="C757" s="17" t="s">
        <v>212</v>
      </c>
      <c r="D757" s="17" t="s">
        <v>213</v>
      </c>
      <c r="E757" s="17" t="s">
        <v>214</v>
      </c>
      <c r="F757" s="17" t="str">
        <f t="array" ref="F757">IFERROR(INDEX(PL4_TONG_HOP!$T$2:$T$5000,MATCH($C757,PL4_TONG_HOP!$A$2:$A$5000,0)),"")</f>
        <v/>
      </c>
      <c r="G757" s="17">
        <f>COUNTIFS(FILE_UPLOADS!$B:$B,$A757,FILE_UPLOADS!$D:$D,$C757)</f>
        <v>0</v>
      </c>
      <c r="H757" s="17" t="str">
        <f t="shared" si="1"/>
        <v/>
      </c>
    </row>
    <row r="758" ht="15.75" customHeight="1">
      <c r="A758" s="17" t="s">
        <v>342</v>
      </c>
      <c r="B758" s="17" t="s">
        <v>19</v>
      </c>
      <c r="C758" s="17" t="s">
        <v>215</v>
      </c>
      <c r="D758" s="17" t="s">
        <v>216</v>
      </c>
      <c r="E758" s="17" t="s">
        <v>217</v>
      </c>
      <c r="F758" s="17" t="str">
        <f t="array" ref="F758">IFERROR(INDEX(PL4_TONG_HOP!$T$2:$T$5000,MATCH($C758,PL4_TONG_HOP!$A$2:$A$5000,0)),"")</f>
        <v/>
      </c>
      <c r="G758" s="17">
        <f>COUNTIFS(FILE_UPLOADS!$B:$B,$A758,FILE_UPLOADS!$D:$D,$C758)</f>
        <v>0</v>
      </c>
      <c r="H758" s="17" t="str">
        <f t="shared" si="1"/>
        <v/>
      </c>
    </row>
    <row r="759" ht="15.75" customHeight="1">
      <c r="A759" s="17" t="s">
        <v>342</v>
      </c>
      <c r="B759" s="17" t="s">
        <v>19</v>
      </c>
      <c r="C759" s="17" t="s">
        <v>227</v>
      </c>
      <c r="D759" s="17" t="s">
        <v>228</v>
      </c>
      <c r="E759" s="17" t="s">
        <v>229</v>
      </c>
      <c r="F759" s="17" t="str">
        <f t="array" ref="F759">IFERROR(INDEX(PL4_TONG_HOP!$T$2:$T$5000,MATCH($C759,PL4_TONG_HOP!$A$2:$A$5000,0)),"")</f>
        <v/>
      </c>
      <c r="G759" s="17">
        <f>COUNTIFS(FILE_UPLOADS!$B:$B,$A759,FILE_UPLOADS!$D:$D,$C759)</f>
        <v>0</v>
      </c>
      <c r="H759" s="17" t="str">
        <f t="shared" si="1"/>
        <v/>
      </c>
    </row>
    <row r="760" ht="15.75" customHeight="1">
      <c r="A760" s="17" t="s">
        <v>342</v>
      </c>
      <c r="B760" s="17" t="s">
        <v>19</v>
      </c>
      <c r="C760" s="17" t="s">
        <v>230</v>
      </c>
      <c r="D760" s="17" t="s">
        <v>231</v>
      </c>
      <c r="E760" s="17" t="s">
        <v>232</v>
      </c>
      <c r="F760" s="17" t="str">
        <f t="array" ref="F760">IFERROR(INDEX(PL4_TONG_HOP!$T$2:$T$5000,MATCH($C760,PL4_TONG_HOP!$A$2:$A$5000,0)),"")</f>
        <v/>
      </c>
      <c r="G760" s="17">
        <f>COUNTIFS(FILE_UPLOADS!$B:$B,$A760,FILE_UPLOADS!$D:$D,$C760)</f>
        <v>0</v>
      </c>
      <c r="H760" s="17" t="str">
        <f t="shared" si="1"/>
        <v/>
      </c>
    </row>
    <row r="761" ht="15.75" customHeight="1">
      <c r="A761" s="17" t="s">
        <v>342</v>
      </c>
      <c r="B761" s="17" t="s">
        <v>19</v>
      </c>
      <c r="C761" s="17" t="s">
        <v>236</v>
      </c>
      <c r="D761" s="17" t="s">
        <v>237</v>
      </c>
      <c r="E761" s="17" t="s">
        <v>238</v>
      </c>
      <c r="F761" s="17" t="str">
        <f t="array" ref="F761">IFERROR(INDEX(PL4_TONG_HOP!$T$2:$T$5000,MATCH($C761,PL4_TONG_HOP!$A$2:$A$5000,0)),"")</f>
        <v/>
      </c>
      <c r="G761" s="17">
        <f>COUNTIFS(FILE_UPLOADS!$B:$B,$A761,FILE_UPLOADS!$D:$D,$C761)</f>
        <v>0</v>
      </c>
      <c r="H761" s="17" t="str">
        <f t="shared" si="1"/>
        <v/>
      </c>
    </row>
    <row r="762" ht="15.75" customHeight="1">
      <c r="A762" s="17" t="s">
        <v>342</v>
      </c>
      <c r="B762" s="17" t="s">
        <v>19</v>
      </c>
      <c r="C762" s="17" t="s">
        <v>239</v>
      </c>
      <c r="D762" s="17" t="s">
        <v>240</v>
      </c>
      <c r="E762" s="17" t="s">
        <v>241</v>
      </c>
      <c r="F762" s="17" t="str">
        <f t="array" ref="F762">IFERROR(INDEX(PL4_TONG_HOP!$T$2:$T$5000,MATCH($C762,PL4_TONG_HOP!$A$2:$A$5000,0)),"")</f>
        <v/>
      </c>
      <c r="G762" s="17">
        <f>COUNTIFS(FILE_UPLOADS!$B:$B,$A762,FILE_UPLOADS!$D:$D,$C762)</f>
        <v>0</v>
      </c>
      <c r="H762" s="17" t="str">
        <f t="shared" si="1"/>
        <v/>
      </c>
    </row>
    <row r="763" ht="15.75" customHeight="1">
      <c r="A763" s="17" t="s">
        <v>342</v>
      </c>
      <c r="B763" s="17" t="s">
        <v>19</v>
      </c>
      <c r="C763" s="17" t="s">
        <v>242</v>
      </c>
      <c r="D763" s="17" t="s">
        <v>243</v>
      </c>
      <c r="E763" s="17" t="s">
        <v>244</v>
      </c>
      <c r="F763" s="17" t="str">
        <f t="array" ref="F763">IFERROR(INDEX(PL4_TONG_HOP!$T$2:$T$5000,MATCH($C763,PL4_TONG_HOP!$A$2:$A$5000,0)),"")</f>
        <v/>
      </c>
      <c r="G763" s="17">
        <f>COUNTIFS(FILE_UPLOADS!$B:$B,$A763,FILE_UPLOADS!$D:$D,$C763)</f>
        <v>0</v>
      </c>
      <c r="H763" s="17" t="str">
        <f t="shared" si="1"/>
        <v/>
      </c>
    </row>
    <row r="764" ht="15.75" customHeight="1">
      <c r="A764" s="17" t="s">
        <v>342</v>
      </c>
      <c r="B764" s="17" t="s">
        <v>19</v>
      </c>
      <c r="C764" s="17" t="s">
        <v>248</v>
      </c>
      <c r="D764" s="17" t="s">
        <v>249</v>
      </c>
      <c r="E764" s="17" t="s">
        <v>250</v>
      </c>
      <c r="F764" s="17" t="str">
        <f t="array" ref="F764">IFERROR(INDEX(PL4_TONG_HOP!$T$2:$T$5000,MATCH($C764,PL4_TONG_HOP!$A$2:$A$5000,0)),"")</f>
        <v/>
      </c>
      <c r="G764" s="17">
        <f>COUNTIFS(FILE_UPLOADS!$B:$B,$A764,FILE_UPLOADS!$D:$D,$C764)</f>
        <v>0</v>
      </c>
      <c r="H764" s="17" t="str">
        <f t="shared" si="1"/>
        <v/>
      </c>
    </row>
    <row r="765" ht="15.75" customHeight="1">
      <c r="A765" s="17" t="s">
        <v>342</v>
      </c>
      <c r="B765" s="17" t="s">
        <v>19</v>
      </c>
      <c r="C765" s="17" t="s">
        <v>251</v>
      </c>
      <c r="D765" s="17" t="s">
        <v>252</v>
      </c>
      <c r="E765" s="17" t="s">
        <v>253</v>
      </c>
      <c r="F765" s="17" t="str">
        <f t="array" ref="F765">IFERROR(INDEX(PL4_TONG_HOP!$T$2:$T$5000,MATCH($C765,PL4_TONG_HOP!$A$2:$A$5000,0)),"")</f>
        <v/>
      </c>
      <c r="G765" s="17">
        <f>COUNTIFS(FILE_UPLOADS!$B:$B,$A765,FILE_UPLOADS!$D:$D,$C765)</f>
        <v>0</v>
      </c>
      <c r="H765" s="17" t="str">
        <f t="shared" si="1"/>
        <v/>
      </c>
    </row>
    <row r="766" ht="15.75" customHeight="1">
      <c r="A766" s="17" t="s">
        <v>342</v>
      </c>
      <c r="B766" s="17" t="s">
        <v>19</v>
      </c>
      <c r="C766" s="17" t="s">
        <v>254</v>
      </c>
      <c r="D766" s="17" t="s">
        <v>255</v>
      </c>
      <c r="E766" s="17" t="s">
        <v>256</v>
      </c>
      <c r="F766" s="17" t="str">
        <f t="array" ref="F766">IFERROR(INDEX(PL4_TONG_HOP!$T$2:$T$5000,MATCH($C766,PL4_TONG_HOP!$A$2:$A$5000,0)),"")</f>
        <v/>
      </c>
      <c r="G766" s="17">
        <f>COUNTIFS(FILE_UPLOADS!$B:$B,$A766,FILE_UPLOADS!$D:$D,$C766)</f>
        <v>0</v>
      </c>
      <c r="H766" s="17" t="str">
        <f t="shared" si="1"/>
        <v/>
      </c>
    </row>
    <row r="767" ht="15.75" customHeight="1">
      <c r="A767" s="17" t="s">
        <v>342</v>
      </c>
      <c r="B767" s="17" t="s">
        <v>19</v>
      </c>
      <c r="C767" s="17" t="s">
        <v>260</v>
      </c>
      <c r="D767" s="17" t="s">
        <v>261</v>
      </c>
      <c r="E767" s="17" t="s">
        <v>262</v>
      </c>
      <c r="F767" s="17" t="str">
        <f t="array" ref="F767">IFERROR(INDEX(PL4_TONG_HOP!$T$2:$T$5000,MATCH($C767,PL4_TONG_HOP!$A$2:$A$5000,0)),"")</f>
        <v/>
      </c>
      <c r="G767" s="17">
        <f>COUNTIFS(FILE_UPLOADS!$B:$B,$A767,FILE_UPLOADS!$D:$D,$C767)</f>
        <v>0</v>
      </c>
      <c r="H767" s="17" t="str">
        <f t="shared" si="1"/>
        <v/>
      </c>
    </row>
    <row r="768" ht="15.75" customHeight="1">
      <c r="A768" s="17" t="s">
        <v>342</v>
      </c>
      <c r="B768" s="17" t="s">
        <v>19</v>
      </c>
      <c r="C768" s="17" t="s">
        <v>263</v>
      </c>
      <c r="D768" s="17" t="s">
        <v>264</v>
      </c>
      <c r="E768" s="17" t="s">
        <v>265</v>
      </c>
      <c r="F768" s="17" t="str">
        <f t="array" ref="F768">IFERROR(INDEX(PL4_TONG_HOP!$T$2:$T$5000,MATCH($C768,PL4_TONG_HOP!$A$2:$A$5000,0)),"")</f>
        <v/>
      </c>
      <c r="G768" s="17">
        <f>COUNTIFS(FILE_UPLOADS!$B:$B,$A768,FILE_UPLOADS!$D:$D,$C768)</f>
        <v>0</v>
      </c>
      <c r="H768" s="17" t="str">
        <f t="shared" si="1"/>
        <v/>
      </c>
    </row>
    <row r="769" ht="15.75" customHeight="1">
      <c r="A769" s="17" t="s">
        <v>342</v>
      </c>
      <c r="B769" s="17" t="s">
        <v>19</v>
      </c>
      <c r="C769" s="17" t="s">
        <v>266</v>
      </c>
      <c r="D769" s="17" t="s">
        <v>267</v>
      </c>
      <c r="E769" s="17" t="s">
        <v>268</v>
      </c>
      <c r="F769" s="17" t="str">
        <f t="array" ref="F769">IFERROR(INDEX(PL4_TONG_HOP!$T$2:$T$5000,MATCH($C769,PL4_TONG_HOP!$A$2:$A$5000,0)),"")</f>
        <v/>
      </c>
      <c r="G769" s="17">
        <f>COUNTIFS(FILE_UPLOADS!$B:$B,$A769,FILE_UPLOADS!$D:$D,$C769)</f>
        <v>0</v>
      </c>
      <c r="H769" s="17" t="str">
        <f t="shared" si="1"/>
        <v/>
      </c>
    </row>
    <row r="770" ht="15.75" customHeight="1">
      <c r="A770" s="17" t="s">
        <v>342</v>
      </c>
      <c r="B770" s="17" t="s">
        <v>19</v>
      </c>
      <c r="C770" s="17" t="s">
        <v>269</v>
      </c>
      <c r="D770" s="17" t="s">
        <v>270</v>
      </c>
      <c r="E770" s="17" t="s">
        <v>271</v>
      </c>
      <c r="F770" s="17" t="str">
        <f t="array" ref="F770">IFERROR(INDEX(PL4_TONG_HOP!$T$2:$T$5000,MATCH($C770,PL4_TONG_HOP!$A$2:$A$5000,0)),"")</f>
        <v/>
      </c>
      <c r="G770" s="17">
        <f>COUNTIFS(FILE_UPLOADS!$B:$B,$A770,FILE_UPLOADS!$D:$D,$C770)</f>
        <v>0</v>
      </c>
      <c r="H770" s="17" t="str">
        <f t="shared" si="1"/>
        <v/>
      </c>
    </row>
    <row r="771" ht="15.75" customHeight="1">
      <c r="A771" s="17" t="s">
        <v>342</v>
      </c>
      <c r="B771" s="17" t="s">
        <v>19</v>
      </c>
      <c r="C771" s="17" t="s">
        <v>272</v>
      </c>
      <c r="D771" s="17" t="s">
        <v>273</v>
      </c>
      <c r="E771" s="17" t="s">
        <v>274</v>
      </c>
      <c r="F771" s="17" t="str">
        <f t="array" ref="F771">IFERROR(INDEX(PL4_TONG_HOP!$T$2:$T$5000,MATCH($C771,PL4_TONG_HOP!$A$2:$A$5000,0)),"")</f>
        <v/>
      </c>
      <c r="G771" s="17">
        <f>COUNTIFS(FILE_UPLOADS!$B:$B,$A771,FILE_UPLOADS!$D:$D,$C771)</f>
        <v>0</v>
      </c>
      <c r="H771" s="17" t="str">
        <f t="shared" si="1"/>
        <v/>
      </c>
    </row>
    <row r="772" ht="15.75" customHeight="1">
      <c r="A772" s="17" t="s">
        <v>342</v>
      </c>
      <c r="B772" s="17" t="s">
        <v>19</v>
      </c>
      <c r="C772" s="17" t="s">
        <v>275</v>
      </c>
      <c r="D772" s="17" t="s">
        <v>276</v>
      </c>
      <c r="E772" s="17" t="s">
        <v>277</v>
      </c>
      <c r="F772" s="17" t="str">
        <f t="array" ref="F772">IFERROR(INDEX(PL4_TONG_HOP!$T$2:$T$5000,MATCH($C772,PL4_TONG_HOP!$A$2:$A$5000,0)),"")</f>
        <v/>
      </c>
      <c r="G772" s="17">
        <f>COUNTIFS(FILE_UPLOADS!$B:$B,$A772,FILE_UPLOADS!$D:$D,$C772)</f>
        <v>0</v>
      </c>
      <c r="H772" s="17" t="str">
        <f t="shared" si="1"/>
        <v/>
      </c>
    </row>
    <row r="773" ht="15.75" customHeight="1">
      <c r="A773" s="17" t="s">
        <v>342</v>
      </c>
      <c r="B773" s="17" t="s">
        <v>19</v>
      </c>
      <c r="C773" s="17" t="s">
        <v>278</v>
      </c>
      <c r="D773" s="17" t="s">
        <v>279</v>
      </c>
      <c r="E773" s="17" t="s">
        <v>280</v>
      </c>
      <c r="F773" s="17" t="str">
        <f t="array" ref="F773">IFERROR(INDEX(PL4_TONG_HOP!$T$2:$T$5000,MATCH($C773,PL4_TONG_HOP!$A$2:$A$5000,0)),"")</f>
        <v/>
      </c>
      <c r="G773" s="17">
        <f>COUNTIFS(FILE_UPLOADS!$B:$B,$A773,FILE_UPLOADS!$D:$D,$C773)</f>
        <v>0</v>
      </c>
      <c r="H773" s="17" t="str">
        <f t="shared" si="1"/>
        <v/>
      </c>
    </row>
    <row r="774" ht="15.75" customHeight="1">
      <c r="A774" s="17" t="s">
        <v>342</v>
      </c>
      <c r="B774" s="17" t="s">
        <v>19</v>
      </c>
      <c r="C774" s="17" t="s">
        <v>281</v>
      </c>
      <c r="D774" s="17" t="s">
        <v>282</v>
      </c>
      <c r="E774" s="17" t="s">
        <v>283</v>
      </c>
      <c r="F774" s="17" t="str">
        <f t="array" ref="F774">IFERROR(INDEX(PL4_TONG_HOP!$T$2:$T$5000,MATCH($C774,PL4_TONG_HOP!$A$2:$A$5000,0)),"")</f>
        <v/>
      </c>
      <c r="G774" s="17">
        <f>COUNTIFS(FILE_UPLOADS!$B:$B,$A774,FILE_UPLOADS!$D:$D,$C774)</f>
        <v>0</v>
      </c>
      <c r="H774" s="17" t="str">
        <f t="shared" si="1"/>
        <v/>
      </c>
    </row>
    <row r="775" ht="15.75" customHeight="1">
      <c r="A775" s="17" t="s">
        <v>342</v>
      </c>
      <c r="B775" s="17" t="s">
        <v>19</v>
      </c>
      <c r="C775" s="17" t="s">
        <v>290</v>
      </c>
      <c r="D775" s="17" t="s">
        <v>291</v>
      </c>
      <c r="E775" s="17" t="s">
        <v>292</v>
      </c>
      <c r="F775" s="17" t="str">
        <f t="array" ref="F775">IFERROR(INDEX(PL4_TONG_HOP!$T$2:$T$5000,MATCH($C775,PL4_TONG_HOP!$A$2:$A$5000,0)),"")</f>
        <v/>
      </c>
      <c r="G775" s="17">
        <f>COUNTIFS(FILE_UPLOADS!$B:$B,$A775,FILE_UPLOADS!$D:$D,$C775)</f>
        <v>0</v>
      </c>
      <c r="H775" s="17" t="str">
        <f t="shared" si="1"/>
        <v/>
      </c>
    </row>
    <row r="776" ht="15.75" customHeight="1">
      <c r="A776" s="17" t="s">
        <v>342</v>
      </c>
      <c r="B776" s="17" t="s">
        <v>19</v>
      </c>
      <c r="C776" s="17" t="s">
        <v>293</v>
      </c>
      <c r="D776" s="17" t="s">
        <v>294</v>
      </c>
      <c r="E776" s="17" t="s">
        <v>295</v>
      </c>
      <c r="F776" s="17" t="str">
        <f t="array" ref="F776">IFERROR(INDEX(PL4_TONG_HOP!$T$2:$T$5000,MATCH($C776,PL4_TONG_HOP!$A$2:$A$5000,0)),"")</f>
        <v/>
      </c>
      <c r="G776" s="17">
        <f>COUNTIFS(FILE_UPLOADS!$B:$B,$A776,FILE_UPLOADS!$D:$D,$C776)</f>
        <v>0</v>
      </c>
      <c r="H776" s="17" t="str">
        <f t="shared" si="1"/>
        <v/>
      </c>
    </row>
    <row r="777" ht="15.75" customHeight="1">
      <c r="A777" s="17" t="s">
        <v>342</v>
      </c>
      <c r="B777" s="17" t="s">
        <v>19</v>
      </c>
      <c r="C777" s="17" t="s">
        <v>299</v>
      </c>
      <c r="D777" s="17" t="s">
        <v>300</v>
      </c>
      <c r="E777" s="17" t="s">
        <v>301</v>
      </c>
      <c r="F777" s="17" t="str">
        <f t="array" ref="F777">IFERROR(INDEX(PL4_TONG_HOP!$T$2:$T$5000,MATCH($C777,PL4_TONG_HOP!$A$2:$A$5000,0)),"")</f>
        <v/>
      </c>
      <c r="G777" s="17">
        <f>COUNTIFS(FILE_UPLOADS!$B:$B,$A777,FILE_UPLOADS!$D:$D,$C777)</f>
        <v>0</v>
      </c>
      <c r="H777" s="17" t="str">
        <f t="shared" si="1"/>
        <v/>
      </c>
    </row>
    <row r="778" ht="15.75" customHeight="1">
      <c r="A778" s="17" t="s">
        <v>342</v>
      </c>
      <c r="B778" s="17" t="s">
        <v>19</v>
      </c>
      <c r="C778" s="17" t="s">
        <v>302</v>
      </c>
      <c r="D778" s="17" t="s">
        <v>303</v>
      </c>
      <c r="E778" s="17" t="s">
        <v>304</v>
      </c>
      <c r="F778" s="17" t="str">
        <f t="array" ref="F778">IFERROR(INDEX(PL4_TONG_HOP!$T$2:$T$5000,MATCH($C778,PL4_TONG_HOP!$A$2:$A$5000,0)),"")</f>
        <v/>
      </c>
      <c r="G778" s="17">
        <f>COUNTIFS(FILE_UPLOADS!$B:$B,$A778,FILE_UPLOADS!$D:$D,$C778)</f>
        <v>0</v>
      </c>
      <c r="H778" s="17" t="str">
        <f t="shared" si="1"/>
        <v/>
      </c>
    </row>
    <row r="779" ht="15.75" customHeight="1">
      <c r="A779" s="17" t="s">
        <v>342</v>
      </c>
      <c r="B779" s="17" t="s">
        <v>19</v>
      </c>
      <c r="C779" s="17" t="s">
        <v>308</v>
      </c>
      <c r="D779" s="17" t="s">
        <v>309</v>
      </c>
      <c r="E779" s="17" t="s">
        <v>310</v>
      </c>
      <c r="F779" s="17" t="str">
        <f t="array" ref="F779">IFERROR(INDEX(PL4_TONG_HOP!$T$2:$T$5000,MATCH($C779,PL4_TONG_HOP!$A$2:$A$5000,0)),"")</f>
        <v/>
      </c>
      <c r="G779" s="17">
        <f>COUNTIFS(FILE_UPLOADS!$B:$B,$A779,FILE_UPLOADS!$D:$D,$C779)</f>
        <v>0</v>
      </c>
      <c r="H779" s="17" t="str">
        <f t="shared" si="1"/>
        <v/>
      </c>
    </row>
    <row r="780" ht="15.75" customHeight="1">
      <c r="A780" s="17" t="s">
        <v>342</v>
      </c>
      <c r="B780" s="17" t="s">
        <v>19</v>
      </c>
      <c r="C780" s="17" t="s">
        <v>311</v>
      </c>
      <c r="D780" s="17" t="s">
        <v>312</v>
      </c>
      <c r="E780" s="17" t="s">
        <v>313</v>
      </c>
      <c r="F780" s="17" t="str">
        <f t="array" ref="F780">IFERROR(INDEX(PL4_TONG_HOP!$T$2:$T$5000,MATCH($C780,PL4_TONG_HOP!$A$2:$A$5000,0)),"")</f>
        <v/>
      </c>
      <c r="G780" s="17">
        <f>COUNTIFS(FILE_UPLOADS!$B:$B,$A780,FILE_UPLOADS!$D:$D,$C780)</f>
        <v>0</v>
      </c>
      <c r="H780" s="17" t="str">
        <f t="shared" si="1"/>
        <v/>
      </c>
    </row>
    <row r="781" ht="15.75" customHeight="1">
      <c r="A781" s="17" t="s">
        <v>342</v>
      </c>
      <c r="B781" s="17" t="s">
        <v>19</v>
      </c>
      <c r="C781" s="17" t="s">
        <v>314</v>
      </c>
      <c r="D781" s="17" t="s">
        <v>315</v>
      </c>
      <c r="E781" s="17" t="s">
        <v>316</v>
      </c>
      <c r="F781" s="17" t="str">
        <f t="array" ref="F781">IFERROR(INDEX(PL4_TONG_HOP!$T$2:$T$5000,MATCH($C781,PL4_TONG_HOP!$A$2:$A$5000,0)),"")</f>
        <v/>
      </c>
      <c r="G781" s="17">
        <f>COUNTIFS(FILE_UPLOADS!$B:$B,$A781,FILE_UPLOADS!$D:$D,$C781)</f>
        <v>0</v>
      </c>
      <c r="H781" s="17" t="str">
        <f t="shared" si="1"/>
        <v/>
      </c>
    </row>
    <row r="782" ht="15.75" customHeight="1">
      <c r="A782" s="17" t="s">
        <v>343</v>
      </c>
      <c r="B782" s="17" t="s">
        <v>20</v>
      </c>
      <c r="C782" s="17" t="s">
        <v>46</v>
      </c>
      <c r="D782" s="17" t="s">
        <v>47</v>
      </c>
      <c r="E782" s="17" t="s">
        <v>48</v>
      </c>
      <c r="F782" s="17" t="str">
        <f t="array" ref="F782">IFERROR(INDEX(PL4_TONG_HOP!$U$2:$U$5000,MATCH($C782,PL4_TONG_HOP!$A$2:$A$5000,0)),"")</f>
        <v/>
      </c>
      <c r="G782" s="17">
        <f>COUNTIFS(FILE_UPLOADS!$B:$B,$A782,FILE_UPLOADS!$D:$D,$C782)</f>
        <v>0</v>
      </c>
      <c r="H782" s="17" t="str">
        <f t="shared" si="1"/>
        <v/>
      </c>
    </row>
    <row r="783" ht="15.75" customHeight="1">
      <c r="A783" s="17" t="s">
        <v>343</v>
      </c>
      <c r="B783" s="17" t="s">
        <v>20</v>
      </c>
      <c r="C783" s="17" t="s">
        <v>78</v>
      </c>
      <c r="D783" s="17" t="s">
        <v>79</v>
      </c>
      <c r="E783" s="17" t="s">
        <v>80</v>
      </c>
      <c r="F783" s="17" t="str">
        <f t="array" ref="F783">IFERROR(INDEX(PL4_TONG_HOP!$U$2:$U$5000,MATCH($C783,PL4_TONG_HOP!$A$2:$A$5000,0)),"")</f>
        <v/>
      </c>
      <c r="G783" s="17">
        <f>COUNTIFS(FILE_UPLOADS!$B:$B,$A783,FILE_UPLOADS!$D:$D,$C783)</f>
        <v>0</v>
      </c>
      <c r="H783" s="17" t="str">
        <f t="shared" si="1"/>
        <v/>
      </c>
    </row>
    <row r="784" ht="15.75" customHeight="1">
      <c r="A784" s="17" t="s">
        <v>343</v>
      </c>
      <c r="B784" s="17" t="s">
        <v>20</v>
      </c>
      <c r="C784" s="17" t="s">
        <v>81</v>
      </c>
      <c r="D784" s="17" t="s">
        <v>82</v>
      </c>
      <c r="E784" s="17" t="s">
        <v>83</v>
      </c>
      <c r="F784" s="17" t="str">
        <f t="array" ref="F784">IFERROR(INDEX(PL4_TONG_HOP!$U$2:$U$5000,MATCH($C784,PL4_TONG_HOP!$A$2:$A$5000,0)),"")</f>
        <v/>
      </c>
      <c r="G784" s="17">
        <f>COUNTIFS(FILE_UPLOADS!$B:$B,$A784,FILE_UPLOADS!$D:$D,$C784)</f>
        <v>0</v>
      </c>
      <c r="H784" s="17" t="str">
        <f t="shared" si="1"/>
        <v/>
      </c>
    </row>
    <row r="785" ht="15.75" customHeight="1">
      <c r="A785" s="17" t="s">
        <v>343</v>
      </c>
      <c r="B785" s="17" t="s">
        <v>20</v>
      </c>
      <c r="C785" s="17" t="s">
        <v>87</v>
      </c>
      <c r="D785" s="17" t="s">
        <v>88</v>
      </c>
      <c r="E785" s="17" t="s">
        <v>89</v>
      </c>
      <c r="F785" s="17" t="str">
        <f t="array" ref="F785">IFERROR(INDEX(PL4_TONG_HOP!$U$2:$U$5000,MATCH($C785,PL4_TONG_HOP!$A$2:$A$5000,0)),"")</f>
        <v/>
      </c>
      <c r="G785" s="17">
        <f>COUNTIFS(FILE_UPLOADS!$B:$B,$A785,FILE_UPLOADS!$D:$D,$C785)</f>
        <v>0</v>
      </c>
      <c r="H785" s="17" t="str">
        <f t="shared" si="1"/>
        <v/>
      </c>
    </row>
    <row r="786" ht="15.75" customHeight="1">
      <c r="A786" s="17" t="s">
        <v>343</v>
      </c>
      <c r="B786" s="17" t="s">
        <v>20</v>
      </c>
      <c r="C786" s="17" t="s">
        <v>90</v>
      </c>
      <c r="D786" s="17" t="s">
        <v>91</v>
      </c>
      <c r="E786" s="17" t="s">
        <v>92</v>
      </c>
      <c r="F786" s="17" t="str">
        <f t="array" ref="F786">IFERROR(INDEX(PL4_TONG_HOP!$U$2:$U$5000,MATCH($C786,PL4_TONG_HOP!$A$2:$A$5000,0)),"")</f>
        <v/>
      </c>
      <c r="G786" s="17">
        <f>COUNTIFS(FILE_UPLOADS!$B:$B,$A786,FILE_UPLOADS!$D:$D,$C786)</f>
        <v>0</v>
      </c>
      <c r="H786" s="17" t="str">
        <f t="shared" si="1"/>
        <v/>
      </c>
    </row>
    <row r="787" ht="15.75" customHeight="1">
      <c r="A787" s="17" t="s">
        <v>343</v>
      </c>
      <c r="B787" s="17" t="s">
        <v>20</v>
      </c>
      <c r="C787" s="17" t="s">
        <v>93</v>
      </c>
      <c r="D787" s="17" t="s">
        <v>85</v>
      </c>
      <c r="E787" s="17" t="s">
        <v>94</v>
      </c>
      <c r="F787" s="17" t="str">
        <f t="array" ref="F787">IFERROR(INDEX(PL4_TONG_HOP!$U$2:$U$5000,MATCH($C787,PL4_TONG_HOP!$A$2:$A$5000,0)),"")</f>
        <v/>
      </c>
      <c r="G787" s="17">
        <f>COUNTIFS(FILE_UPLOADS!$B:$B,$A787,FILE_UPLOADS!$D:$D,$C787)</f>
        <v>0</v>
      </c>
      <c r="H787" s="17" t="str">
        <f t="shared" si="1"/>
        <v/>
      </c>
    </row>
    <row r="788" ht="15.75" customHeight="1">
      <c r="A788" s="17" t="s">
        <v>343</v>
      </c>
      <c r="B788" s="17" t="s">
        <v>20</v>
      </c>
      <c r="C788" s="17" t="s">
        <v>95</v>
      </c>
      <c r="D788" s="17" t="s">
        <v>96</v>
      </c>
      <c r="E788" s="17" t="s">
        <v>97</v>
      </c>
      <c r="F788" s="17" t="str">
        <f t="array" ref="F788">IFERROR(INDEX(PL4_TONG_HOP!$U$2:$U$5000,MATCH($C788,PL4_TONG_HOP!$A$2:$A$5000,0)),"")</f>
        <v/>
      </c>
      <c r="G788" s="17">
        <f>COUNTIFS(FILE_UPLOADS!$B:$B,$A788,FILE_UPLOADS!$D:$D,$C788)</f>
        <v>0</v>
      </c>
      <c r="H788" s="17" t="str">
        <f t="shared" si="1"/>
        <v/>
      </c>
    </row>
    <row r="789" ht="15.75" customHeight="1">
      <c r="A789" s="17" t="s">
        <v>343</v>
      </c>
      <c r="B789" s="17" t="s">
        <v>20</v>
      </c>
      <c r="C789" s="17" t="s">
        <v>98</v>
      </c>
      <c r="D789" s="17" t="s">
        <v>99</v>
      </c>
      <c r="E789" s="17" t="s">
        <v>100</v>
      </c>
      <c r="F789" s="17" t="str">
        <f t="array" ref="F789">IFERROR(INDEX(PL4_TONG_HOP!$U$2:$U$5000,MATCH($C789,PL4_TONG_HOP!$A$2:$A$5000,0)),"")</f>
        <v/>
      </c>
      <c r="G789" s="17">
        <f>COUNTIFS(FILE_UPLOADS!$B:$B,$A789,FILE_UPLOADS!$D:$D,$C789)</f>
        <v>0</v>
      </c>
      <c r="H789" s="17" t="str">
        <f t="shared" si="1"/>
        <v/>
      </c>
    </row>
    <row r="790" ht="15.75" customHeight="1">
      <c r="A790" s="17" t="s">
        <v>343</v>
      </c>
      <c r="B790" s="17" t="s">
        <v>20</v>
      </c>
      <c r="C790" s="17" t="s">
        <v>101</v>
      </c>
      <c r="D790" s="17" t="s">
        <v>102</v>
      </c>
      <c r="E790" s="17" t="s">
        <v>103</v>
      </c>
      <c r="F790" s="17" t="str">
        <f t="array" ref="F790">IFERROR(INDEX(PL4_TONG_HOP!$U$2:$U$5000,MATCH($C790,PL4_TONG_HOP!$A$2:$A$5000,0)),"")</f>
        <v/>
      </c>
      <c r="G790" s="17">
        <f>COUNTIFS(FILE_UPLOADS!$B:$B,$A790,FILE_UPLOADS!$D:$D,$C790)</f>
        <v>0</v>
      </c>
      <c r="H790" s="17" t="str">
        <f t="shared" si="1"/>
        <v/>
      </c>
    </row>
    <row r="791" ht="15.75" customHeight="1">
      <c r="A791" s="17" t="s">
        <v>343</v>
      </c>
      <c r="B791" s="17" t="s">
        <v>20</v>
      </c>
      <c r="C791" s="17" t="s">
        <v>113</v>
      </c>
      <c r="D791" s="17" t="s">
        <v>114</v>
      </c>
      <c r="E791" s="17" t="s">
        <v>115</v>
      </c>
      <c r="F791" s="17" t="str">
        <f t="array" ref="F791">IFERROR(INDEX(PL4_TONG_HOP!$U$2:$U$5000,MATCH($C791,PL4_TONG_HOP!$A$2:$A$5000,0)),"")</f>
        <v/>
      </c>
      <c r="G791" s="17">
        <f>COUNTIFS(FILE_UPLOADS!$B:$B,$A791,FILE_UPLOADS!$D:$D,$C791)</f>
        <v>0</v>
      </c>
      <c r="H791" s="17" t="str">
        <f t="shared" si="1"/>
        <v/>
      </c>
    </row>
    <row r="792" ht="15.75" customHeight="1">
      <c r="A792" s="17" t="s">
        <v>343</v>
      </c>
      <c r="B792" s="17" t="s">
        <v>20</v>
      </c>
      <c r="C792" s="17" t="s">
        <v>116</v>
      </c>
      <c r="D792" s="17" t="s">
        <v>117</v>
      </c>
      <c r="E792" s="17" t="s">
        <v>118</v>
      </c>
      <c r="F792" s="17" t="str">
        <f t="array" ref="F792">IFERROR(INDEX(PL4_TONG_HOP!$U$2:$U$5000,MATCH($C792,PL4_TONG_HOP!$A$2:$A$5000,0)),"")</f>
        <v/>
      </c>
      <c r="G792" s="17">
        <f>COUNTIFS(FILE_UPLOADS!$B:$B,$A792,FILE_UPLOADS!$D:$D,$C792)</f>
        <v>0</v>
      </c>
      <c r="H792" s="17" t="str">
        <f t="shared" si="1"/>
        <v/>
      </c>
    </row>
    <row r="793" ht="15.75" customHeight="1">
      <c r="A793" s="17" t="s">
        <v>343</v>
      </c>
      <c r="B793" s="17" t="s">
        <v>20</v>
      </c>
      <c r="C793" s="17" t="s">
        <v>119</v>
      </c>
      <c r="D793" s="17" t="s">
        <v>120</v>
      </c>
      <c r="E793" s="17" t="s">
        <v>121</v>
      </c>
      <c r="F793" s="17" t="str">
        <f t="array" ref="F793">IFERROR(INDEX(PL4_TONG_HOP!$U$2:$U$5000,MATCH($C793,PL4_TONG_HOP!$A$2:$A$5000,0)),"")</f>
        <v/>
      </c>
      <c r="G793" s="17">
        <f>COUNTIFS(FILE_UPLOADS!$B:$B,$A793,FILE_UPLOADS!$D:$D,$C793)</f>
        <v>0</v>
      </c>
      <c r="H793" s="17" t="str">
        <f t="shared" si="1"/>
        <v/>
      </c>
    </row>
    <row r="794" ht="15.75" customHeight="1">
      <c r="A794" s="17" t="s">
        <v>343</v>
      </c>
      <c r="B794" s="17" t="s">
        <v>20</v>
      </c>
      <c r="C794" s="17" t="s">
        <v>122</v>
      </c>
      <c r="D794" s="17" t="s">
        <v>123</v>
      </c>
      <c r="E794" s="17" t="s">
        <v>124</v>
      </c>
      <c r="F794" s="17" t="str">
        <f t="array" ref="F794">IFERROR(INDEX(PL4_TONG_HOP!$U$2:$U$5000,MATCH($C794,PL4_TONG_HOP!$A$2:$A$5000,0)),"")</f>
        <v/>
      </c>
      <c r="G794" s="17">
        <f>COUNTIFS(FILE_UPLOADS!$B:$B,$A794,FILE_UPLOADS!$D:$D,$C794)</f>
        <v>0</v>
      </c>
      <c r="H794" s="17" t="str">
        <f t="shared" si="1"/>
        <v/>
      </c>
    </row>
    <row r="795" ht="15.75" customHeight="1">
      <c r="A795" s="17" t="s">
        <v>343</v>
      </c>
      <c r="B795" s="17" t="s">
        <v>20</v>
      </c>
      <c r="C795" s="17" t="s">
        <v>125</v>
      </c>
      <c r="D795" s="17" t="s">
        <v>126</v>
      </c>
      <c r="E795" s="17" t="s">
        <v>127</v>
      </c>
      <c r="F795" s="17" t="str">
        <f t="array" ref="F795">IFERROR(INDEX(PL4_TONG_HOP!$U$2:$U$5000,MATCH($C795,PL4_TONG_HOP!$A$2:$A$5000,0)),"")</f>
        <v/>
      </c>
      <c r="G795" s="17">
        <f>COUNTIFS(FILE_UPLOADS!$B:$B,$A795,FILE_UPLOADS!$D:$D,$C795)</f>
        <v>0</v>
      </c>
      <c r="H795" s="17" t="str">
        <f t="shared" si="1"/>
        <v/>
      </c>
    </row>
    <row r="796" ht="15.75" customHeight="1">
      <c r="A796" s="17" t="s">
        <v>343</v>
      </c>
      <c r="B796" s="17" t="s">
        <v>20</v>
      </c>
      <c r="C796" s="17" t="s">
        <v>128</v>
      </c>
      <c r="D796" s="17" t="s">
        <v>129</v>
      </c>
      <c r="E796" s="17" t="s">
        <v>130</v>
      </c>
      <c r="F796" s="17" t="str">
        <f t="array" ref="F796">IFERROR(INDEX(PL4_TONG_HOP!$U$2:$U$5000,MATCH($C796,PL4_TONG_HOP!$A$2:$A$5000,0)),"")</f>
        <v/>
      </c>
      <c r="G796" s="17">
        <f>COUNTIFS(FILE_UPLOADS!$B:$B,$A796,FILE_UPLOADS!$D:$D,$C796)</f>
        <v>0</v>
      </c>
      <c r="H796" s="17" t="str">
        <f t="shared" si="1"/>
        <v/>
      </c>
    </row>
    <row r="797" ht="15.75" customHeight="1">
      <c r="A797" s="17" t="s">
        <v>343</v>
      </c>
      <c r="B797" s="17" t="s">
        <v>20</v>
      </c>
      <c r="C797" s="17" t="s">
        <v>131</v>
      </c>
      <c r="D797" s="17" t="s">
        <v>132</v>
      </c>
      <c r="E797" s="17" t="s">
        <v>133</v>
      </c>
      <c r="F797" s="17" t="str">
        <f t="array" ref="F797">IFERROR(INDEX(PL4_TONG_HOP!$U$2:$U$5000,MATCH($C797,PL4_TONG_HOP!$A$2:$A$5000,0)),"")</f>
        <v/>
      </c>
      <c r="G797" s="17">
        <f>COUNTIFS(FILE_UPLOADS!$B:$B,$A797,FILE_UPLOADS!$D:$D,$C797)</f>
        <v>0</v>
      </c>
      <c r="H797" s="17" t="str">
        <f t="shared" si="1"/>
        <v/>
      </c>
    </row>
    <row r="798" ht="15.75" customHeight="1">
      <c r="A798" s="17" t="s">
        <v>343</v>
      </c>
      <c r="B798" s="17" t="s">
        <v>20</v>
      </c>
      <c r="C798" s="17" t="s">
        <v>134</v>
      </c>
      <c r="D798" s="17" t="s">
        <v>135</v>
      </c>
      <c r="E798" s="17" t="s">
        <v>136</v>
      </c>
      <c r="F798" s="17" t="str">
        <f t="array" ref="F798">IFERROR(INDEX(PL4_TONG_HOP!$U$2:$U$5000,MATCH($C798,PL4_TONG_HOP!$A$2:$A$5000,0)),"")</f>
        <v/>
      </c>
      <c r="G798" s="17">
        <f>COUNTIFS(FILE_UPLOADS!$B:$B,$A798,FILE_UPLOADS!$D:$D,$C798)</f>
        <v>0</v>
      </c>
      <c r="H798" s="17" t="str">
        <f t="shared" si="1"/>
        <v/>
      </c>
    </row>
    <row r="799" ht="15.75" customHeight="1">
      <c r="A799" s="17" t="s">
        <v>343</v>
      </c>
      <c r="B799" s="17" t="s">
        <v>20</v>
      </c>
      <c r="C799" s="17" t="s">
        <v>140</v>
      </c>
      <c r="D799" s="17" t="s">
        <v>141</v>
      </c>
      <c r="E799" s="17" t="s">
        <v>142</v>
      </c>
      <c r="F799" s="17" t="str">
        <f t="array" ref="F799">IFERROR(INDEX(PL4_TONG_HOP!$U$2:$U$5000,MATCH($C799,PL4_TONG_HOP!$A$2:$A$5000,0)),"")</f>
        <v/>
      </c>
      <c r="G799" s="17">
        <f>COUNTIFS(FILE_UPLOADS!$B:$B,$A799,FILE_UPLOADS!$D:$D,$C799)</f>
        <v>0</v>
      </c>
      <c r="H799" s="17" t="str">
        <f t="shared" si="1"/>
        <v/>
      </c>
    </row>
    <row r="800" ht="15.75" customHeight="1">
      <c r="A800" s="17" t="s">
        <v>343</v>
      </c>
      <c r="B800" s="17" t="s">
        <v>20</v>
      </c>
      <c r="C800" s="17" t="s">
        <v>143</v>
      </c>
      <c r="D800" s="17" t="s">
        <v>144</v>
      </c>
      <c r="E800" s="17" t="s">
        <v>145</v>
      </c>
      <c r="F800" s="17" t="str">
        <f t="array" ref="F800">IFERROR(INDEX(PL4_TONG_HOP!$U$2:$U$5000,MATCH($C800,PL4_TONG_HOP!$A$2:$A$5000,0)),"")</f>
        <v/>
      </c>
      <c r="G800" s="17">
        <f>COUNTIFS(FILE_UPLOADS!$B:$B,$A800,FILE_UPLOADS!$D:$D,$C800)</f>
        <v>0</v>
      </c>
      <c r="H800" s="17" t="str">
        <f t="shared" si="1"/>
        <v/>
      </c>
    </row>
    <row r="801" ht="15.75" customHeight="1">
      <c r="A801" s="17" t="s">
        <v>343</v>
      </c>
      <c r="B801" s="17" t="s">
        <v>20</v>
      </c>
      <c r="C801" s="17" t="s">
        <v>149</v>
      </c>
      <c r="D801" s="17" t="s">
        <v>150</v>
      </c>
      <c r="E801" s="17" t="s">
        <v>151</v>
      </c>
      <c r="F801" s="17" t="str">
        <f t="array" ref="F801">IFERROR(INDEX(PL4_TONG_HOP!$U$2:$U$5000,MATCH($C801,PL4_TONG_HOP!$A$2:$A$5000,0)),"")</f>
        <v/>
      </c>
      <c r="G801" s="17">
        <f>COUNTIFS(FILE_UPLOADS!$B:$B,$A801,FILE_UPLOADS!$D:$D,$C801)</f>
        <v>0</v>
      </c>
      <c r="H801" s="17" t="str">
        <f t="shared" si="1"/>
        <v/>
      </c>
    </row>
    <row r="802" ht="15.75" customHeight="1">
      <c r="A802" s="17" t="s">
        <v>343</v>
      </c>
      <c r="B802" s="17" t="s">
        <v>20</v>
      </c>
      <c r="C802" s="17" t="s">
        <v>152</v>
      </c>
      <c r="D802" s="17" t="s">
        <v>153</v>
      </c>
      <c r="E802" s="17" t="s">
        <v>154</v>
      </c>
      <c r="F802" s="17" t="str">
        <f t="array" ref="F802">IFERROR(INDEX(PL4_TONG_HOP!$U$2:$U$5000,MATCH($C802,PL4_TONG_HOP!$A$2:$A$5000,0)),"")</f>
        <v/>
      </c>
      <c r="G802" s="17">
        <f>COUNTIFS(FILE_UPLOADS!$B:$B,$A802,FILE_UPLOADS!$D:$D,$C802)</f>
        <v>0</v>
      </c>
      <c r="H802" s="17" t="str">
        <f t="shared" si="1"/>
        <v/>
      </c>
    </row>
    <row r="803" ht="15.75" customHeight="1">
      <c r="A803" s="17" t="s">
        <v>343</v>
      </c>
      <c r="B803" s="17" t="s">
        <v>20</v>
      </c>
      <c r="C803" s="17" t="s">
        <v>155</v>
      </c>
      <c r="D803" s="17" t="s">
        <v>156</v>
      </c>
      <c r="E803" s="17" t="s">
        <v>157</v>
      </c>
      <c r="F803" s="17" t="str">
        <f t="array" ref="F803">IFERROR(INDEX(PL4_TONG_HOP!$U$2:$U$5000,MATCH($C803,PL4_TONG_HOP!$A$2:$A$5000,0)),"")</f>
        <v/>
      </c>
      <c r="G803" s="17">
        <f>COUNTIFS(FILE_UPLOADS!$B:$B,$A803,FILE_UPLOADS!$D:$D,$C803)</f>
        <v>0</v>
      </c>
      <c r="H803" s="17" t="str">
        <f t="shared" si="1"/>
        <v/>
      </c>
    </row>
    <row r="804" ht="15.75" customHeight="1">
      <c r="A804" s="17" t="s">
        <v>343</v>
      </c>
      <c r="B804" s="17" t="s">
        <v>20</v>
      </c>
      <c r="C804" s="17" t="s">
        <v>161</v>
      </c>
      <c r="D804" s="17" t="s">
        <v>162</v>
      </c>
      <c r="E804" s="17" t="s">
        <v>163</v>
      </c>
      <c r="F804" s="17" t="str">
        <f t="array" ref="F804">IFERROR(INDEX(PL4_TONG_HOP!$U$2:$U$5000,MATCH($C804,PL4_TONG_HOP!$A$2:$A$5000,0)),"")</f>
        <v/>
      </c>
      <c r="G804" s="17">
        <f>COUNTIFS(FILE_UPLOADS!$B:$B,$A804,FILE_UPLOADS!$D:$D,$C804)</f>
        <v>0</v>
      </c>
      <c r="H804" s="17" t="str">
        <f t="shared" si="1"/>
        <v/>
      </c>
    </row>
    <row r="805" ht="15.75" customHeight="1">
      <c r="A805" s="17" t="s">
        <v>343</v>
      </c>
      <c r="B805" s="17" t="s">
        <v>20</v>
      </c>
      <c r="C805" s="17" t="s">
        <v>164</v>
      </c>
      <c r="D805" s="17" t="s">
        <v>165</v>
      </c>
      <c r="E805" s="17" t="s">
        <v>166</v>
      </c>
      <c r="F805" s="17" t="str">
        <f t="array" ref="F805">IFERROR(INDEX(PL4_TONG_HOP!$U$2:$U$5000,MATCH($C805,PL4_TONG_HOP!$A$2:$A$5000,0)),"")</f>
        <v/>
      </c>
      <c r="G805" s="17">
        <f>COUNTIFS(FILE_UPLOADS!$B:$B,$A805,FILE_UPLOADS!$D:$D,$C805)</f>
        <v>0</v>
      </c>
      <c r="H805" s="17" t="str">
        <f t="shared" si="1"/>
        <v/>
      </c>
    </row>
    <row r="806" ht="15.75" customHeight="1">
      <c r="A806" s="17" t="s">
        <v>343</v>
      </c>
      <c r="B806" s="17" t="s">
        <v>20</v>
      </c>
      <c r="C806" s="17" t="s">
        <v>167</v>
      </c>
      <c r="D806" s="17" t="s">
        <v>168</v>
      </c>
      <c r="E806" s="17" t="s">
        <v>169</v>
      </c>
      <c r="F806" s="17" t="str">
        <f t="array" ref="F806">IFERROR(INDEX(PL4_TONG_HOP!$U$2:$U$5000,MATCH($C806,PL4_TONG_HOP!$A$2:$A$5000,0)),"")</f>
        <v/>
      </c>
      <c r="G806" s="17">
        <f>COUNTIFS(FILE_UPLOADS!$B:$B,$A806,FILE_UPLOADS!$D:$D,$C806)</f>
        <v>0</v>
      </c>
      <c r="H806" s="17" t="str">
        <f t="shared" si="1"/>
        <v/>
      </c>
    </row>
    <row r="807" ht="15.75" customHeight="1">
      <c r="A807" s="17" t="s">
        <v>343</v>
      </c>
      <c r="B807" s="17" t="s">
        <v>20</v>
      </c>
      <c r="C807" s="17" t="s">
        <v>173</v>
      </c>
      <c r="D807" s="17" t="s">
        <v>174</v>
      </c>
      <c r="E807" s="17" t="s">
        <v>175</v>
      </c>
      <c r="F807" s="17" t="str">
        <f t="array" ref="F807">IFERROR(INDEX(PL4_TONG_HOP!$U$2:$U$5000,MATCH($C807,PL4_TONG_HOP!$A$2:$A$5000,0)),"")</f>
        <v/>
      </c>
      <c r="G807" s="17">
        <f>COUNTIFS(FILE_UPLOADS!$B:$B,$A807,FILE_UPLOADS!$D:$D,$C807)</f>
        <v>0</v>
      </c>
      <c r="H807" s="17" t="str">
        <f t="shared" si="1"/>
        <v/>
      </c>
    </row>
    <row r="808" ht="15.75" customHeight="1">
      <c r="A808" s="17" t="s">
        <v>343</v>
      </c>
      <c r="B808" s="17" t="s">
        <v>20</v>
      </c>
      <c r="C808" s="17" t="s">
        <v>176</v>
      </c>
      <c r="D808" s="17" t="s">
        <v>177</v>
      </c>
      <c r="E808" s="17" t="s">
        <v>178</v>
      </c>
      <c r="F808" s="17" t="str">
        <f t="array" ref="F808">IFERROR(INDEX(PL4_TONG_HOP!$U$2:$U$5000,MATCH($C808,PL4_TONG_HOP!$A$2:$A$5000,0)),"")</f>
        <v/>
      </c>
      <c r="G808" s="17">
        <f>COUNTIFS(FILE_UPLOADS!$B:$B,$A808,FILE_UPLOADS!$D:$D,$C808)</f>
        <v>0</v>
      </c>
      <c r="H808" s="17" t="str">
        <f t="shared" si="1"/>
        <v/>
      </c>
    </row>
    <row r="809" ht="15.75" customHeight="1">
      <c r="A809" s="17" t="s">
        <v>343</v>
      </c>
      <c r="B809" s="17" t="s">
        <v>20</v>
      </c>
      <c r="C809" s="17" t="s">
        <v>212</v>
      </c>
      <c r="D809" s="17" t="s">
        <v>213</v>
      </c>
      <c r="E809" s="17" t="s">
        <v>214</v>
      </c>
      <c r="F809" s="17" t="str">
        <f t="array" ref="F809">IFERROR(INDEX(PL4_TONG_HOP!$U$2:$U$5000,MATCH($C809,PL4_TONG_HOP!$A$2:$A$5000,0)),"")</f>
        <v/>
      </c>
      <c r="G809" s="17">
        <f>COUNTIFS(FILE_UPLOADS!$B:$B,$A809,FILE_UPLOADS!$D:$D,$C809)</f>
        <v>0</v>
      </c>
      <c r="H809" s="17" t="str">
        <f t="shared" si="1"/>
        <v/>
      </c>
    </row>
    <row r="810" ht="15.75" customHeight="1">
      <c r="A810" s="17" t="s">
        <v>343</v>
      </c>
      <c r="B810" s="17" t="s">
        <v>20</v>
      </c>
      <c r="C810" s="17" t="s">
        <v>215</v>
      </c>
      <c r="D810" s="17" t="s">
        <v>216</v>
      </c>
      <c r="E810" s="17" t="s">
        <v>217</v>
      </c>
      <c r="F810" s="17" t="str">
        <f t="array" ref="F810">IFERROR(INDEX(PL4_TONG_HOP!$U$2:$U$5000,MATCH($C810,PL4_TONG_HOP!$A$2:$A$5000,0)),"")</f>
        <v/>
      </c>
      <c r="G810" s="17">
        <f>COUNTIFS(FILE_UPLOADS!$B:$B,$A810,FILE_UPLOADS!$D:$D,$C810)</f>
        <v>0</v>
      </c>
      <c r="H810" s="17" t="str">
        <f t="shared" si="1"/>
        <v/>
      </c>
    </row>
    <row r="811" ht="15.75" customHeight="1">
      <c r="A811" s="17" t="s">
        <v>343</v>
      </c>
      <c r="B811" s="17" t="s">
        <v>20</v>
      </c>
      <c r="C811" s="17" t="s">
        <v>227</v>
      </c>
      <c r="D811" s="17" t="s">
        <v>228</v>
      </c>
      <c r="E811" s="17" t="s">
        <v>229</v>
      </c>
      <c r="F811" s="17" t="str">
        <f t="array" ref="F811">IFERROR(INDEX(PL4_TONG_HOP!$U$2:$U$5000,MATCH($C811,PL4_TONG_HOP!$A$2:$A$5000,0)),"")</f>
        <v/>
      </c>
      <c r="G811" s="17">
        <f>COUNTIFS(FILE_UPLOADS!$B:$B,$A811,FILE_UPLOADS!$D:$D,$C811)</f>
        <v>0</v>
      </c>
      <c r="H811" s="17" t="str">
        <f t="shared" si="1"/>
        <v/>
      </c>
    </row>
    <row r="812" ht="15.75" customHeight="1">
      <c r="A812" s="17" t="s">
        <v>343</v>
      </c>
      <c r="B812" s="17" t="s">
        <v>20</v>
      </c>
      <c r="C812" s="17" t="s">
        <v>230</v>
      </c>
      <c r="D812" s="17" t="s">
        <v>231</v>
      </c>
      <c r="E812" s="17" t="s">
        <v>232</v>
      </c>
      <c r="F812" s="17" t="str">
        <f t="array" ref="F812">IFERROR(INDEX(PL4_TONG_HOP!$U$2:$U$5000,MATCH($C812,PL4_TONG_HOP!$A$2:$A$5000,0)),"")</f>
        <v/>
      </c>
      <c r="G812" s="17">
        <f>COUNTIFS(FILE_UPLOADS!$B:$B,$A812,FILE_UPLOADS!$D:$D,$C812)</f>
        <v>0</v>
      </c>
      <c r="H812" s="17" t="str">
        <f t="shared" si="1"/>
        <v/>
      </c>
    </row>
    <row r="813" ht="15.75" customHeight="1">
      <c r="A813" s="17" t="s">
        <v>343</v>
      </c>
      <c r="B813" s="17" t="s">
        <v>20</v>
      </c>
      <c r="C813" s="17" t="s">
        <v>236</v>
      </c>
      <c r="D813" s="17" t="s">
        <v>237</v>
      </c>
      <c r="E813" s="17" t="s">
        <v>238</v>
      </c>
      <c r="F813" s="17" t="str">
        <f t="array" ref="F813">IFERROR(INDEX(PL4_TONG_HOP!$U$2:$U$5000,MATCH($C813,PL4_TONG_HOP!$A$2:$A$5000,0)),"")</f>
        <v/>
      </c>
      <c r="G813" s="17">
        <f>COUNTIFS(FILE_UPLOADS!$B:$B,$A813,FILE_UPLOADS!$D:$D,$C813)</f>
        <v>0</v>
      </c>
      <c r="H813" s="17" t="str">
        <f t="shared" si="1"/>
        <v/>
      </c>
    </row>
    <row r="814" ht="15.75" customHeight="1">
      <c r="A814" s="17" t="s">
        <v>343</v>
      </c>
      <c r="B814" s="17" t="s">
        <v>20</v>
      </c>
      <c r="C814" s="17" t="s">
        <v>239</v>
      </c>
      <c r="D814" s="17" t="s">
        <v>240</v>
      </c>
      <c r="E814" s="17" t="s">
        <v>241</v>
      </c>
      <c r="F814" s="17" t="str">
        <f t="array" ref="F814">IFERROR(INDEX(PL4_TONG_HOP!$U$2:$U$5000,MATCH($C814,PL4_TONG_HOP!$A$2:$A$5000,0)),"")</f>
        <v/>
      </c>
      <c r="G814" s="17">
        <f>COUNTIFS(FILE_UPLOADS!$B:$B,$A814,FILE_UPLOADS!$D:$D,$C814)</f>
        <v>0</v>
      </c>
      <c r="H814" s="17" t="str">
        <f t="shared" si="1"/>
        <v/>
      </c>
    </row>
    <row r="815" ht="15.75" customHeight="1">
      <c r="A815" s="17" t="s">
        <v>343</v>
      </c>
      <c r="B815" s="17" t="s">
        <v>20</v>
      </c>
      <c r="C815" s="17" t="s">
        <v>242</v>
      </c>
      <c r="D815" s="17" t="s">
        <v>243</v>
      </c>
      <c r="E815" s="17" t="s">
        <v>244</v>
      </c>
      <c r="F815" s="17" t="str">
        <f t="array" ref="F815">IFERROR(INDEX(PL4_TONG_HOP!$U$2:$U$5000,MATCH($C815,PL4_TONG_HOP!$A$2:$A$5000,0)),"")</f>
        <v/>
      </c>
      <c r="G815" s="17">
        <f>COUNTIFS(FILE_UPLOADS!$B:$B,$A815,FILE_UPLOADS!$D:$D,$C815)</f>
        <v>0</v>
      </c>
      <c r="H815" s="17" t="str">
        <f t="shared" si="1"/>
        <v/>
      </c>
    </row>
    <row r="816" ht="15.75" customHeight="1">
      <c r="A816" s="17" t="s">
        <v>343</v>
      </c>
      <c r="B816" s="17" t="s">
        <v>20</v>
      </c>
      <c r="C816" s="17" t="s">
        <v>248</v>
      </c>
      <c r="D816" s="17" t="s">
        <v>249</v>
      </c>
      <c r="E816" s="17" t="s">
        <v>250</v>
      </c>
      <c r="F816" s="17" t="str">
        <f t="array" ref="F816">IFERROR(INDEX(PL4_TONG_HOP!$U$2:$U$5000,MATCH($C816,PL4_TONG_HOP!$A$2:$A$5000,0)),"")</f>
        <v/>
      </c>
      <c r="G816" s="17">
        <f>COUNTIFS(FILE_UPLOADS!$B:$B,$A816,FILE_UPLOADS!$D:$D,$C816)</f>
        <v>0</v>
      </c>
      <c r="H816" s="17" t="str">
        <f t="shared" si="1"/>
        <v/>
      </c>
    </row>
    <row r="817" ht="15.75" customHeight="1">
      <c r="A817" s="17" t="s">
        <v>343</v>
      </c>
      <c r="B817" s="17" t="s">
        <v>20</v>
      </c>
      <c r="C817" s="17" t="s">
        <v>251</v>
      </c>
      <c r="D817" s="17" t="s">
        <v>252</v>
      </c>
      <c r="E817" s="17" t="s">
        <v>253</v>
      </c>
      <c r="F817" s="17" t="str">
        <f t="array" ref="F817">IFERROR(INDEX(PL4_TONG_HOP!$U$2:$U$5000,MATCH($C817,PL4_TONG_HOP!$A$2:$A$5000,0)),"")</f>
        <v/>
      </c>
      <c r="G817" s="17">
        <f>COUNTIFS(FILE_UPLOADS!$B:$B,$A817,FILE_UPLOADS!$D:$D,$C817)</f>
        <v>0</v>
      </c>
      <c r="H817" s="17" t="str">
        <f t="shared" si="1"/>
        <v/>
      </c>
    </row>
    <row r="818" ht="15.75" customHeight="1">
      <c r="A818" s="17" t="s">
        <v>343</v>
      </c>
      <c r="B818" s="17" t="s">
        <v>20</v>
      </c>
      <c r="C818" s="17" t="s">
        <v>254</v>
      </c>
      <c r="D818" s="17" t="s">
        <v>255</v>
      </c>
      <c r="E818" s="17" t="s">
        <v>256</v>
      </c>
      <c r="F818" s="17" t="str">
        <f t="array" ref="F818">IFERROR(INDEX(PL4_TONG_HOP!$U$2:$U$5000,MATCH($C818,PL4_TONG_HOP!$A$2:$A$5000,0)),"")</f>
        <v/>
      </c>
      <c r="G818" s="17">
        <f>COUNTIFS(FILE_UPLOADS!$B:$B,$A818,FILE_UPLOADS!$D:$D,$C818)</f>
        <v>0</v>
      </c>
      <c r="H818" s="17" t="str">
        <f t="shared" si="1"/>
        <v/>
      </c>
    </row>
    <row r="819" ht="15.75" customHeight="1">
      <c r="A819" s="17" t="s">
        <v>343</v>
      </c>
      <c r="B819" s="17" t="s">
        <v>20</v>
      </c>
      <c r="C819" s="17" t="s">
        <v>260</v>
      </c>
      <c r="D819" s="17" t="s">
        <v>261</v>
      </c>
      <c r="E819" s="17" t="s">
        <v>262</v>
      </c>
      <c r="F819" s="17" t="str">
        <f t="array" ref="F819">IFERROR(INDEX(PL4_TONG_HOP!$U$2:$U$5000,MATCH($C819,PL4_TONG_HOP!$A$2:$A$5000,0)),"")</f>
        <v/>
      </c>
      <c r="G819" s="17">
        <f>COUNTIFS(FILE_UPLOADS!$B:$B,$A819,FILE_UPLOADS!$D:$D,$C819)</f>
        <v>0</v>
      </c>
      <c r="H819" s="17" t="str">
        <f t="shared" si="1"/>
        <v/>
      </c>
    </row>
    <row r="820" ht="15.75" customHeight="1">
      <c r="A820" s="17" t="s">
        <v>343</v>
      </c>
      <c r="B820" s="17" t="s">
        <v>20</v>
      </c>
      <c r="C820" s="17" t="s">
        <v>263</v>
      </c>
      <c r="D820" s="17" t="s">
        <v>264</v>
      </c>
      <c r="E820" s="17" t="s">
        <v>265</v>
      </c>
      <c r="F820" s="17" t="str">
        <f t="array" ref="F820">IFERROR(INDEX(PL4_TONG_HOP!$U$2:$U$5000,MATCH($C820,PL4_TONG_HOP!$A$2:$A$5000,0)),"")</f>
        <v/>
      </c>
      <c r="G820" s="17">
        <f>COUNTIFS(FILE_UPLOADS!$B:$B,$A820,FILE_UPLOADS!$D:$D,$C820)</f>
        <v>0</v>
      </c>
      <c r="H820" s="17" t="str">
        <f t="shared" si="1"/>
        <v/>
      </c>
    </row>
    <row r="821" ht="15.75" customHeight="1">
      <c r="A821" s="17" t="s">
        <v>343</v>
      </c>
      <c r="B821" s="17" t="s">
        <v>20</v>
      </c>
      <c r="C821" s="17" t="s">
        <v>266</v>
      </c>
      <c r="D821" s="17" t="s">
        <v>267</v>
      </c>
      <c r="E821" s="17" t="s">
        <v>268</v>
      </c>
      <c r="F821" s="17" t="str">
        <f t="array" ref="F821">IFERROR(INDEX(PL4_TONG_HOP!$U$2:$U$5000,MATCH($C821,PL4_TONG_HOP!$A$2:$A$5000,0)),"")</f>
        <v/>
      </c>
      <c r="G821" s="17">
        <f>COUNTIFS(FILE_UPLOADS!$B:$B,$A821,FILE_UPLOADS!$D:$D,$C821)</f>
        <v>0</v>
      </c>
      <c r="H821" s="17" t="str">
        <f t="shared" si="1"/>
        <v/>
      </c>
    </row>
    <row r="822" ht="15.75" customHeight="1">
      <c r="A822" s="17" t="s">
        <v>343</v>
      </c>
      <c r="B822" s="17" t="s">
        <v>20</v>
      </c>
      <c r="C822" s="17" t="s">
        <v>269</v>
      </c>
      <c r="D822" s="17" t="s">
        <v>270</v>
      </c>
      <c r="E822" s="17" t="s">
        <v>271</v>
      </c>
      <c r="F822" s="17" t="str">
        <f t="array" ref="F822">IFERROR(INDEX(PL4_TONG_HOP!$U$2:$U$5000,MATCH($C822,PL4_TONG_HOP!$A$2:$A$5000,0)),"")</f>
        <v/>
      </c>
      <c r="G822" s="17">
        <f>COUNTIFS(FILE_UPLOADS!$B:$B,$A822,FILE_UPLOADS!$D:$D,$C822)</f>
        <v>0</v>
      </c>
      <c r="H822" s="17" t="str">
        <f t="shared" si="1"/>
        <v/>
      </c>
    </row>
    <row r="823" ht="15.75" customHeight="1">
      <c r="A823" s="17" t="s">
        <v>343</v>
      </c>
      <c r="B823" s="17" t="s">
        <v>20</v>
      </c>
      <c r="C823" s="17" t="s">
        <v>272</v>
      </c>
      <c r="D823" s="17" t="s">
        <v>273</v>
      </c>
      <c r="E823" s="17" t="s">
        <v>274</v>
      </c>
      <c r="F823" s="17" t="str">
        <f t="array" ref="F823">IFERROR(INDEX(PL4_TONG_HOP!$U$2:$U$5000,MATCH($C823,PL4_TONG_HOP!$A$2:$A$5000,0)),"")</f>
        <v/>
      </c>
      <c r="G823" s="17">
        <f>COUNTIFS(FILE_UPLOADS!$B:$B,$A823,FILE_UPLOADS!$D:$D,$C823)</f>
        <v>0</v>
      </c>
      <c r="H823" s="17" t="str">
        <f t="shared" si="1"/>
        <v/>
      </c>
    </row>
    <row r="824" ht="15.75" customHeight="1">
      <c r="A824" s="17" t="s">
        <v>343</v>
      </c>
      <c r="B824" s="17" t="s">
        <v>20</v>
      </c>
      <c r="C824" s="17" t="s">
        <v>275</v>
      </c>
      <c r="D824" s="17" t="s">
        <v>276</v>
      </c>
      <c r="E824" s="17" t="s">
        <v>277</v>
      </c>
      <c r="F824" s="17" t="str">
        <f t="array" ref="F824">IFERROR(INDEX(PL4_TONG_HOP!$U$2:$U$5000,MATCH($C824,PL4_TONG_HOP!$A$2:$A$5000,0)),"")</f>
        <v/>
      </c>
      <c r="G824" s="17">
        <f>COUNTIFS(FILE_UPLOADS!$B:$B,$A824,FILE_UPLOADS!$D:$D,$C824)</f>
        <v>0</v>
      </c>
      <c r="H824" s="17" t="str">
        <f t="shared" si="1"/>
        <v/>
      </c>
    </row>
    <row r="825" ht="15.75" customHeight="1">
      <c r="A825" s="17" t="s">
        <v>343</v>
      </c>
      <c r="B825" s="17" t="s">
        <v>20</v>
      </c>
      <c r="C825" s="17" t="s">
        <v>278</v>
      </c>
      <c r="D825" s="17" t="s">
        <v>279</v>
      </c>
      <c r="E825" s="17" t="s">
        <v>280</v>
      </c>
      <c r="F825" s="17" t="str">
        <f t="array" ref="F825">IFERROR(INDEX(PL4_TONG_HOP!$U$2:$U$5000,MATCH($C825,PL4_TONG_HOP!$A$2:$A$5000,0)),"")</f>
        <v/>
      </c>
      <c r="G825" s="17">
        <f>COUNTIFS(FILE_UPLOADS!$B:$B,$A825,FILE_UPLOADS!$D:$D,$C825)</f>
        <v>0</v>
      </c>
      <c r="H825" s="17" t="str">
        <f t="shared" si="1"/>
        <v/>
      </c>
    </row>
    <row r="826" ht="15.75" customHeight="1">
      <c r="A826" s="17" t="s">
        <v>343</v>
      </c>
      <c r="B826" s="17" t="s">
        <v>20</v>
      </c>
      <c r="C826" s="17" t="s">
        <v>281</v>
      </c>
      <c r="D826" s="17" t="s">
        <v>282</v>
      </c>
      <c r="E826" s="17" t="s">
        <v>283</v>
      </c>
      <c r="F826" s="17" t="str">
        <f t="array" ref="F826">IFERROR(INDEX(PL4_TONG_HOP!$U$2:$U$5000,MATCH($C826,PL4_TONG_HOP!$A$2:$A$5000,0)),"")</f>
        <v/>
      </c>
      <c r="G826" s="17">
        <f>COUNTIFS(FILE_UPLOADS!$B:$B,$A826,FILE_UPLOADS!$D:$D,$C826)</f>
        <v>0</v>
      </c>
      <c r="H826" s="17" t="str">
        <f t="shared" si="1"/>
        <v/>
      </c>
    </row>
    <row r="827" ht="15.75" customHeight="1">
      <c r="A827" s="17" t="s">
        <v>343</v>
      </c>
      <c r="B827" s="17" t="s">
        <v>20</v>
      </c>
      <c r="C827" s="17" t="s">
        <v>290</v>
      </c>
      <c r="D827" s="17" t="s">
        <v>291</v>
      </c>
      <c r="E827" s="17" t="s">
        <v>292</v>
      </c>
      <c r="F827" s="17" t="str">
        <f t="array" ref="F827">IFERROR(INDEX(PL4_TONG_HOP!$U$2:$U$5000,MATCH($C827,PL4_TONG_HOP!$A$2:$A$5000,0)),"")</f>
        <v/>
      </c>
      <c r="G827" s="17">
        <f>COUNTIFS(FILE_UPLOADS!$B:$B,$A827,FILE_UPLOADS!$D:$D,$C827)</f>
        <v>0</v>
      </c>
      <c r="H827" s="17" t="str">
        <f t="shared" si="1"/>
        <v/>
      </c>
    </row>
    <row r="828" ht="15.75" customHeight="1">
      <c r="A828" s="17" t="s">
        <v>343</v>
      </c>
      <c r="B828" s="17" t="s">
        <v>20</v>
      </c>
      <c r="C828" s="17" t="s">
        <v>293</v>
      </c>
      <c r="D828" s="17" t="s">
        <v>294</v>
      </c>
      <c r="E828" s="17" t="s">
        <v>295</v>
      </c>
      <c r="F828" s="17" t="str">
        <f t="array" ref="F828">IFERROR(INDEX(PL4_TONG_HOP!$U$2:$U$5000,MATCH($C828,PL4_TONG_HOP!$A$2:$A$5000,0)),"")</f>
        <v/>
      </c>
      <c r="G828" s="17">
        <f>COUNTIFS(FILE_UPLOADS!$B:$B,$A828,FILE_UPLOADS!$D:$D,$C828)</f>
        <v>0</v>
      </c>
      <c r="H828" s="17" t="str">
        <f t="shared" si="1"/>
        <v/>
      </c>
    </row>
    <row r="829" ht="15.75" customHeight="1">
      <c r="A829" s="17" t="s">
        <v>343</v>
      </c>
      <c r="B829" s="17" t="s">
        <v>20</v>
      </c>
      <c r="C829" s="17" t="s">
        <v>299</v>
      </c>
      <c r="D829" s="17" t="s">
        <v>300</v>
      </c>
      <c r="E829" s="17" t="s">
        <v>301</v>
      </c>
      <c r="F829" s="17" t="str">
        <f t="array" ref="F829">IFERROR(INDEX(PL4_TONG_HOP!$U$2:$U$5000,MATCH($C829,PL4_TONG_HOP!$A$2:$A$5000,0)),"")</f>
        <v/>
      </c>
      <c r="G829" s="17">
        <f>COUNTIFS(FILE_UPLOADS!$B:$B,$A829,FILE_UPLOADS!$D:$D,$C829)</f>
        <v>0</v>
      </c>
      <c r="H829" s="17" t="str">
        <f t="shared" si="1"/>
        <v/>
      </c>
    </row>
    <row r="830" ht="15.75" customHeight="1">
      <c r="A830" s="17" t="s">
        <v>343</v>
      </c>
      <c r="B830" s="17" t="s">
        <v>20</v>
      </c>
      <c r="C830" s="17" t="s">
        <v>302</v>
      </c>
      <c r="D830" s="17" t="s">
        <v>303</v>
      </c>
      <c r="E830" s="17" t="s">
        <v>304</v>
      </c>
      <c r="F830" s="17" t="str">
        <f t="array" ref="F830">IFERROR(INDEX(PL4_TONG_HOP!$U$2:$U$5000,MATCH($C830,PL4_TONG_HOP!$A$2:$A$5000,0)),"")</f>
        <v/>
      </c>
      <c r="G830" s="17">
        <f>COUNTIFS(FILE_UPLOADS!$B:$B,$A830,FILE_UPLOADS!$D:$D,$C830)</f>
        <v>0</v>
      </c>
      <c r="H830" s="17" t="str">
        <f t="shared" si="1"/>
        <v/>
      </c>
    </row>
    <row r="831" ht="15.75" customHeight="1">
      <c r="A831" s="17" t="s">
        <v>343</v>
      </c>
      <c r="B831" s="17" t="s">
        <v>20</v>
      </c>
      <c r="C831" s="17" t="s">
        <v>308</v>
      </c>
      <c r="D831" s="17" t="s">
        <v>309</v>
      </c>
      <c r="E831" s="17" t="s">
        <v>310</v>
      </c>
      <c r="F831" s="17" t="str">
        <f t="array" ref="F831">IFERROR(INDEX(PL4_TONG_HOP!$U$2:$U$5000,MATCH($C831,PL4_TONG_HOP!$A$2:$A$5000,0)),"")</f>
        <v/>
      </c>
      <c r="G831" s="17">
        <f>COUNTIFS(FILE_UPLOADS!$B:$B,$A831,FILE_UPLOADS!$D:$D,$C831)</f>
        <v>0</v>
      </c>
      <c r="H831" s="17" t="str">
        <f t="shared" si="1"/>
        <v/>
      </c>
    </row>
    <row r="832" ht="15.75" customHeight="1">
      <c r="A832" s="17" t="s">
        <v>343</v>
      </c>
      <c r="B832" s="17" t="s">
        <v>20</v>
      </c>
      <c r="C832" s="17" t="s">
        <v>311</v>
      </c>
      <c r="D832" s="17" t="s">
        <v>312</v>
      </c>
      <c r="E832" s="17" t="s">
        <v>313</v>
      </c>
      <c r="F832" s="17" t="str">
        <f t="array" ref="F832">IFERROR(INDEX(PL4_TONG_HOP!$U$2:$U$5000,MATCH($C832,PL4_TONG_HOP!$A$2:$A$5000,0)),"")</f>
        <v/>
      </c>
      <c r="G832" s="17">
        <f>COUNTIFS(FILE_UPLOADS!$B:$B,$A832,FILE_UPLOADS!$D:$D,$C832)</f>
        <v>0</v>
      </c>
      <c r="H832" s="17" t="str">
        <f t="shared" si="1"/>
        <v/>
      </c>
    </row>
    <row r="833" ht="15.75" customHeight="1">
      <c r="A833" s="17" t="s">
        <v>343</v>
      </c>
      <c r="B833" s="17" t="s">
        <v>20</v>
      </c>
      <c r="C833" s="17" t="s">
        <v>314</v>
      </c>
      <c r="D833" s="17" t="s">
        <v>315</v>
      </c>
      <c r="E833" s="17" t="s">
        <v>316</v>
      </c>
      <c r="F833" s="17" t="str">
        <f t="array" ref="F833">IFERROR(INDEX(PL4_TONG_HOP!$U$2:$U$5000,MATCH($C833,PL4_TONG_HOP!$A$2:$A$5000,0)),"")</f>
        <v/>
      </c>
      <c r="G833" s="17">
        <f>COUNTIFS(FILE_UPLOADS!$B:$B,$A833,FILE_UPLOADS!$D:$D,$C833)</f>
        <v>0</v>
      </c>
      <c r="H833" s="17" t="str">
        <f t="shared" si="1"/>
        <v/>
      </c>
    </row>
    <row r="834" ht="15.75" customHeight="1">
      <c r="E834" s="18"/>
    </row>
    <row r="835" ht="15.75" customHeight="1">
      <c r="E835" s="18"/>
    </row>
    <row r="836" ht="15.75" customHeight="1">
      <c r="E836" s="18"/>
    </row>
    <row r="837" ht="15.75" customHeight="1">
      <c r="E837" s="18"/>
    </row>
    <row r="838" ht="15.75" customHeight="1">
      <c r="E838" s="18"/>
    </row>
    <row r="839" ht="15.75" customHeight="1">
      <c r="E839" s="18"/>
    </row>
    <row r="840" ht="15.75" customHeight="1">
      <c r="E840" s="18"/>
    </row>
    <row r="841" ht="15.75" customHeight="1">
      <c r="E841" s="18"/>
    </row>
    <row r="842" ht="15.75" customHeight="1">
      <c r="E842" s="18"/>
    </row>
    <row r="843" ht="15.75" customHeight="1">
      <c r="E843" s="18"/>
    </row>
    <row r="844" ht="15.75" customHeight="1">
      <c r="E844" s="18"/>
    </row>
    <row r="845" ht="15.75" customHeight="1">
      <c r="E845" s="18"/>
    </row>
    <row r="846" ht="15.75" customHeight="1">
      <c r="E846" s="18"/>
    </row>
    <row r="847" ht="15.75" customHeight="1">
      <c r="E847" s="18"/>
    </row>
    <row r="848" ht="15.75" customHeight="1">
      <c r="E848" s="18"/>
    </row>
    <row r="849" ht="15.75" customHeight="1">
      <c r="E849" s="18"/>
    </row>
    <row r="850" ht="15.75" customHeight="1">
      <c r="E850" s="18"/>
    </row>
    <row r="851" ht="15.75" customHeight="1">
      <c r="E851" s="18"/>
    </row>
    <row r="852" ht="15.75" customHeight="1">
      <c r="E852" s="18"/>
    </row>
    <row r="853" ht="15.75" customHeight="1">
      <c r="E853" s="18"/>
    </row>
    <row r="854" ht="15.75" customHeight="1">
      <c r="E854" s="18"/>
    </row>
    <row r="855" ht="15.75" customHeight="1">
      <c r="E855" s="18"/>
    </row>
    <row r="856" ht="15.75" customHeight="1">
      <c r="E856" s="18"/>
    </row>
    <row r="857" ht="15.75" customHeight="1">
      <c r="E857" s="18"/>
    </row>
    <row r="858" ht="15.75" customHeight="1">
      <c r="E858" s="18"/>
    </row>
    <row r="859" ht="15.75" customHeight="1">
      <c r="E859" s="18"/>
    </row>
    <row r="860" ht="15.75" customHeight="1">
      <c r="E860" s="18"/>
    </row>
    <row r="861" ht="15.75" customHeight="1">
      <c r="E861" s="18"/>
    </row>
    <row r="862" ht="15.75" customHeight="1">
      <c r="E862" s="18"/>
    </row>
    <row r="863" ht="15.75" customHeight="1">
      <c r="E863" s="18"/>
    </row>
    <row r="864" ht="15.75" customHeight="1">
      <c r="E864" s="18"/>
    </row>
    <row r="865" ht="15.75" customHeight="1">
      <c r="E865" s="18"/>
    </row>
    <row r="866" ht="15.75" customHeight="1">
      <c r="E866" s="18"/>
    </row>
    <row r="867" ht="15.75" customHeight="1">
      <c r="E867" s="18"/>
    </row>
    <row r="868" ht="15.75" customHeight="1">
      <c r="E868" s="18"/>
    </row>
    <row r="869" ht="15.75" customHeight="1">
      <c r="E869" s="18"/>
    </row>
    <row r="870" ht="15.75" customHeight="1">
      <c r="E870" s="18"/>
    </row>
    <row r="871" ht="15.75" customHeight="1">
      <c r="E871" s="18"/>
    </row>
    <row r="872" ht="15.75" customHeight="1">
      <c r="E872" s="18"/>
    </row>
    <row r="873" ht="15.75" customHeight="1">
      <c r="E873" s="18"/>
    </row>
    <row r="874" ht="15.75" customHeight="1">
      <c r="E874" s="18"/>
    </row>
    <row r="875" ht="15.75" customHeight="1">
      <c r="E875" s="18"/>
    </row>
    <row r="876" ht="15.75" customHeight="1">
      <c r="E876" s="18"/>
    </row>
    <row r="877" ht="15.75" customHeight="1">
      <c r="E877" s="18"/>
    </row>
    <row r="878" ht="15.75" customHeight="1">
      <c r="E878" s="18"/>
    </row>
    <row r="879" ht="15.75" customHeight="1">
      <c r="E879" s="18"/>
    </row>
    <row r="880" ht="15.75" customHeight="1">
      <c r="E880" s="18"/>
    </row>
    <row r="881" ht="15.75" customHeight="1">
      <c r="E881" s="18"/>
    </row>
    <row r="882" ht="15.75" customHeight="1">
      <c r="E882" s="18"/>
    </row>
    <row r="883" ht="15.75" customHeight="1">
      <c r="E883" s="18"/>
    </row>
    <row r="884" ht="15.75" customHeight="1">
      <c r="E884" s="18"/>
    </row>
    <row r="885" ht="15.75" customHeight="1">
      <c r="E885" s="18"/>
    </row>
    <row r="886" ht="15.75" customHeight="1">
      <c r="E886" s="18"/>
    </row>
    <row r="887" ht="15.75" customHeight="1">
      <c r="E887" s="18"/>
    </row>
    <row r="888" ht="15.75" customHeight="1">
      <c r="E888" s="18"/>
    </row>
    <row r="889" ht="15.75" customHeight="1">
      <c r="E889" s="18"/>
    </row>
    <row r="890" ht="15.75" customHeight="1">
      <c r="E890" s="18"/>
    </row>
    <row r="891" ht="15.75" customHeight="1">
      <c r="E891" s="18"/>
    </row>
    <row r="892" ht="15.75" customHeight="1">
      <c r="E892" s="18"/>
    </row>
    <row r="893" ht="15.75" customHeight="1">
      <c r="E893" s="18"/>
    </row>
    <row r="894" ht="15.75" customHeight="1">
      <c r="E894" s="18"/>
    </row>
    <row r="895" ht="15.75" customHeight="1">
      <c r="E895" s="18"/>
    </row>
    <row r="896" ht="15.75" customHeight="1">
      <c r="E896" s="18"/>
    </row>
    <row r="897" ht="15.75" customHeight="1">
      <c r="E897" s="18"/>
    </row>
    <row r="898" ht="15.75" customHeight="1">
      <c r="E898" s="18"/>
    </row>
    <row r="899" ht="15.75" customHeight="1">
      <c r="E899" s="18"/>
    </row>
    <row r="900" ht="15.75" customHeight="1">
      <c r="E900" s="18"/>
    </row>
    <row r="901" ht="15.75" customHeight="1">
      <c r="E901" s="18"/>
    </row>
    <row r="902" ht="15.75" customHeight="1">
      <c r="E902" s="18"/>
    </row>
    <row r="903" ht="15.75" customHeight="1">
      <c r="E903" s="18"/>
    </row>
    <row r="904" ht="15.75" customHeight="1">
      <c r="E904" s="18"/>
    </row>
    <row r="905" ht="15.75" customHeight="1">
      <c r="E905" s="18"/>
    </row>
    <row r="906" ht="15.75" customHeight="1">
      <c r="E906" s="18"/>
    </row>
    <row r="907" ht="15.75" customHeight="1">
      <c r="E907" s="18"/>
    </row>
    <row r="908" ht="15.75" customHeight="1">
      <c r="E908" s="18"/>
    </row>
    <row r="909" ht="15.75" customHeight="1">
      <c r="E909" s="18"/>
    </row>
    <row r="910" ht="15.75" customHeight="1">
      <c r="E910" s="18"/>
    </row>
    <row r="911" ht="15.75" customHeight="1">
      <c r="E911" s="18"/>
    </row>
    <row r="912" ht="15.75" customHeight="1">
      <c r="E912" s="18"/>
    </row>
    <row r="913" ht="15.75" customHeight="1">
      <c r="E913" s="18"/>
    </row>
    <row r="914" ht="15.75" customHeight="1">
      <c r="E914" s="18"/>
    </row>
    <row r="915" ht="15.75" customHeight="1">
      <c r="E915" s="18"/>
    </row>
    <row r="916" ht="15.75" customHeight="1">
      <c r="E916" s="18"/>
    </row>
    <row r="917" ht="15.75" customHeight="1">
      <c r="E917" s="18"/>
    </row>
    <row r="918" ht="15.75" customHeight="1">
      <c r="E918" s="18"/>
    </row>
    <row r="919" ht="15.75" customHeight="1">
      <c r="E919" s="18"/>
    </row>
    <row r="920" ht="15.75" customHeight="1">
      <c r="E920" s="18"/>
    </row>
    <row r="921" ht="15.75" customHeight="1">
      <c r="E921" s="18"/>
    </row>
    <row r="922" ht="15.75" customHeight="1">
      <c r="E922" s="18"/>
    </row>
    <row r="923" ht="15.75" customHeight="1">
      <c r="E923" s="18"/>
    </row>
    <row r="924" ht="15.75" customHeight="1">
      <c r="E924" s="18"/>
    </row>
    <row r="925" ht="15.75" customHeight="1">
      <c r="E925" s="18"/>
    </row>
    <row r="926" ht="15.75" customHeight="1">
      <c r="E926" s="18"/>
    </row>
    <row r="927" ht="15.75" customHeight="1">
      <c r="E927" s="18"/>
    </row>
    <row r="928" ht="15.75" customHeight="1">
      <c r="E928" s="18"/>
    </row>
    <row r="929" ht="15.75" customHeight="1">
      <c r="E929" s="18"/>
    </row>
    <row r="930" ht="15.75" customHeight="1">
      <c r="E930" s="18"/>
    </row>
    <row r="931" ht="15.75" customHeight="1">
      <c r="E931" s="18"/>
    </row>
    <row r="932" ht="15.75" customHeight="1">
      <c r="E932" s="18"/>
    </row>
    <row r="933" ht="15.75" customHeight="1">
      <c r="E933" s="18"/>
    </row>
    <row r="934" ht="15.75" customHeight="1">
      <c r="E934" s="18"/>
    </row>
    <row r="935" ht="15.75" customHeight="1">
      <c r="E935" s="18"/>
    </row>
    <row r="936" ht="15.75" customHeight="1">
      <c r="E936" s="18"/>
    </row>
    <row r="937" ht="15.75" customHeight="1">
      <c r="E937" s="18"/>
    </row>
    <row r="938" ht="15.75" customHeight="1">
      <c r="E938" s="18"/>
    </row>
    <row r="939" ht="15.75" customHeight="1">
      <c r="E939" s="18"/>
    </row>
    <row r="940" ht="15.75" customHeight="1">
      <c r="E940" s="18"/>
    </row>
    <row r="941" ht="15.75" customHeight="1">
      <c r="E941" s="18"/>
    </row>
    <row r="942" ht="15.75" customHeight="1">
      <c r="E942" s="18"/>
    </row>
    <row r="943" ht="15.75" customHeight="1">
      <c r="E943" s="18"/>
    </row>
    <row r="944" ht="15.75" customHeight="1">
      <c r="E944" s="18"/>
    </row>
    <row r="945" ht="15.75" customHeight="1">
      <c r="E945" s="18"/>
    </row>
    <row r="946" ht="15.75" customHeight="1">
      <c r="E946" s="18"/>
    </row>
    <row r="947" ht="15.75" customHeight="1">
      <c r="E947" s="18"/>
    </row>
    <row r="948" ht="15.75" customHeight="1">
      <c r="E948" s="18"/>
    </row>
    <row r="949" ht="15.75" customHeight="1">
      <c r="E949" s="18"/>
    </row>
    <row r="950" ht="15.75" customHeight="1">
      <c r="E950" s="18"/>
    </row>
    <row r="951" ht="15.75" customHeight="1">
      <c r="E951" s="18"/>
    </row>
    <row r="952" ht="15.75" customHeight="1">
      <c r="E952" s="18"/>
    </row>
    <row r="953" ht="15.75" customHeight="1">
      <c r="E953" s="18"/>
    </row>
    <row r="954" ht="15.75" customHeight="1">
      <c r="E954" s="18"/>
    </row>
    <row r="955" ht="15.75" customHeight="1">
      <c r="E955" s="18"/>
    </row>
    <row r="956" ht="15.75" customHeight="1">
      <c r="E956" s="18"/>
    </row>
    <row r="957" ht="15.75" customHeight="1">
      <c r="E957" s="18"/>
    </row>
    <row r="958" ht="15.75" customHeight="1">
      <c r="E958" s="18"/>
    </row>
    <row r="959" ht="15.75" customHeight="1">
      <c r="E959" s="18"/>
    </row>
    <row r="960" ht="15.75" customHeight="1">
      <c r="E960" s="18"/>
    </row>
    <row r="961" ht="15.75" customHeight="1">
      <c r="E961" s="18"/>
    </row>
    <row r="962" ht="15.75" customHeight="1">
      <c r="E962" s="18"/>
    </row>
    <row r="963" ht="15.75" customHeight="1">
      <c r="E963" s="18"/>
    </row>
    <row r="964" ht="15.75" customHeight="1">
      <c r="E964" s="18"/>
    </row>
    <row r="965" ht="15.75" customHeight="1">
      <c r="E965" s="18"/>
    </row>
    <row r="966" ht="15.75" customHeight="1">
      <c r="E966" s="18"/>
    </row>
    <row r="967" ht="15.75" customHeight="1">
      <c r="E967" s="18"/>
    </row>
    <row r="968" ht="15.75" customHeight="1">
      <c r="E968" s="18"/>
    </row>
    <row r="969" ht="15.75" customHeight="1">
      <c r="E969" s="18"/>
    </row>
    <row r="970" ht="15.75" customHeight="1">
      <c r="E970" s="18"/>
    </row>
    <row r="971" ht="15.75" customHeight="1">
      <c r="E971" s="18"/>
    </row>
    <row r="972" ht="15.75" customHeight="1">
      <c r="E972" s="18"/>
    </row>
    <row r="973" ht="15.75" customHeight="1">
      <c r="E973" s="18"/>
    </row>
    <row r="974" ht="15.75" customHeight="1">
      <c r="E974" s="18"/>
    </row>
    <row r="975" ht="15.75" customHeight="1">
      <c r="E975" s="18"/>
    </row>
    <row r="976" ht="15.75" customHeight="1">
      <c r="E976" s="18"/>
    </row>
    <row r="977" ht="15.75" customHeight="1">
      <c r="E977" s="18"/>
    </row>
    <row r="978" ht="15.75" customHeight="1">
      <c r="E978" s="18"/>
    </row>
    <row r="979" ht="15.75" customHeight="1">
      <c r="E979" s="18"/>
    </row>
    <row r="980" ht="15.75" customHeight="1">
      <c r="E980" s="18"/>
    </row>
    <row r="981" ht="15.75" customHeight="1">
      <c r="E981" s="18"/>
    </row>
    <row r="982" ht="15.75" customHeight="1">
      <c r="E982" s="18"/>
    </row>
    <row r="983" ht="15.75" customHeight="1">
      <c r="E983" s="18"/>
    </row>
    <row r="984" ht="15.75" customHeight="1">
      <c r="E984" s="18"/>
    </row>
    <row r="985" ht="15.75" customHeight="1">
      <c r="E985" s="18"/>
    </row>
    <row r="986" ht="15.75" customHeight="1">
      <c r="E986" s="18"/>
    </row>
    <row r="987" ht="15.75" customHeight="1">
      <c r="E987" s="18"/>
    </row>
    <row r="988" ht="15.75" customHeight="1">
      <c r="E988" s="18"/>
    </row>
    <row r="989" ht="15.75" customHeight="1">
      <c r="E989" s="18"/>
    </row>
    <row r="990" ht="15.75" customHeight="1">
      <c r="E990" s="18"/>
    </row>
    <row r="991" ht="15.75" customHeight="1">
      <c r="E991" s="18"/>
    </row>
    <row r="992" ht="15.75" customHeight="1">
      <c r="E992" s="18"/>
    </row>
    <row r="993" ht="15.75" customHeight="1">
      <c r="E993" s="18"/>
    </row>
    <row r="994" ht="15.75" customHeight="1">
      <c r="E994" s="18"/>
    </row>
    <row r="995" ht="15.75" customHeight="1">
      <c r="E995" s="18"/>
    </row>
    <row r="996" ht="15.75" customHeight="1">
      <c r="E996" s="18"/>
    </row>
    <row r="997" ht="15.75" customHeight="1">
      <c r="E997" s="18"/>
    </row>
    <row r="998" ht="15.75" customHeight="1">
      <c r="E998" s="18"/>
    </row>
    <row r="999" ht="15.75" customHeight="1">
      <c r="E999" s="18"/>
    </row>
    <row r="1000" ht="15.75" customHeight="1">
      <c r="E1000" s="18"/>
    </row>
  </sheetData>
  <conditionalFormatting sqref="A2:H833">
    <cfRule type="expression" dxfId="2" priority="1">
      <formula>$G2=0</formula>
    </cfRule>
  </conditionalFormatting>
  <conditionalFormatting sqref="A2:H833">
    <cfRule type="expression" dxfId="3" priority="2">
      <formula>$G2&gt;0</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75"/>
    <col customWidth="1" min="2" max="2" width="34.0"/>
    <col customWidth="1" min="3" max="3" width="45.25"/>
    <col customWidth="1" min="4" max="4" width="84.88"/>
    <col customWidth="1" min="5" max="26" width="8.63"/>
  </cols>
  <sheetData>
    <row r="1">
      <c r="A1" s="1" t="s">
        <v>317</v>
      </c>
      <c r="B1" s="1" t="s">
        <v>318</v>
      </c>
      <c r="C1" s="1" t="s">
        <v>347</v>
      </c>
      <c r="D1" s="1" t="s">
        <v>348</v>
      </c>
    </row>
    <row r="2">
      <c r="A2" s="6" t="s">
        <v>328</v>
      </c>
      <c r="B2" s="6" t="s">
        <v>5</v>
      </c>
      <c r="C2" s="6" t="s">
        <v>349</v>
      </c>
      <c r="D2" s="6" t="s">
        <v>350</v>
      </c>
    </row>
    <row r="3">
      <c r="A3" s="6" t="s">
        <v>329</v>
      </c>
      <c r="B3" s="6" t="s">
        <v>6</v>
      </c>
      <c r="C3" s="6" t="s">
        <v>351</v>
      </c>
      <c r="D3" s="6" t="s">
        <v>352</v>
      </c>
    </row>
    <row r="4">
      <c r="A4" s="6" t="s">
        <v>330</v>
      </c>
      <c r="B4" s="6" t="s">
        <v>7</v>
      </c>
      <c r="C4" s="6" t="s">
        <v>353</v>
      </c>
      <c r="D4" s="6" t="s">
        <v>354</v>
      </c>
    </row>
    <row r="5">
      <c r="A5" s="6" t="s">
        <v>331</v>
      </c>
      <c r="B5" s="6" t="s">
        <v>8</v>
      </c>
      <c r="C5" s="6" t="s">
        <v>355</v>
      </c>
      <c r="D5" s="6" t="s">
        <v>356</v>
      </c>
    </row>
    <row r="6">
      <c r="A6" s="6" t="s">
        <v>332</v>
      </c>
      <c r="B6" s="6" t="s">
        <v>9</v>
      </c>
      <c r="C6" s="6" t="s">
        <v>357</v>
      </c>
      <c r="D6" s="6" t="s">
        <v>358</v>
      </c>
    </row>
    <row r="7">
      <c r="A7" s="6" t="s">
        <v>333</v>
      </c>
      <c r="B7" s="6" t="s">
        <v>10</v>
      </c>
      <c r="C7" s="6" t="s">
        <v>359</v>
      </c>
      <c r="D7" s="6" t="s">
        <v>360</v>
      </c>
    </row>
    <row r="8">
      <c r="A8" s="6" t="s">
        <v>334</v>
      </c>
      <c r="B8" s="6" t="s">
        <v>11</v>
      </c>
      <c r="C8" s="6" t="s">
        <v>361</v>
      </c>
      <c r="D8" s="6" t="s">
        <v>362</v>
      </c>
    </row>
    <row r="9">
      <c r="A9" s="6" t="s">
        <v>335</v>
      </c>
      <c r="B9" s="6" t="s">
        <v>12</v>
      </c>
      <c r="C9" s="6" t="s">
        <v>363</v>
      </c>
      <c r="D9" s="6" t="s">
        <v>364</v>
      </c>
    </row>
    <row r="10">
      <c r="A10" s="6" t="s">
        <v>336</v>
      </c>
      <c r="B10" s="6" t="s">
        <v>13</v>
      </c>
      <c r="C10" s="6" t="s">
        <v>365</v>
      </c>
      <c r="D10" s="6" t="s">
        <v>366</v>
      </c>
    </row>
    <row r="11">
      <c r="A11" s="6" t="s">
        <v>337</v>
      </c>
      <c r="B11" s="6" t="s">
        <v>14</v>
      </c>
      <c r="C11" s="6" t="s">
        <v>367</v>
      </c>
      <c r="D11" s="6" t="s">
        <v>368</v>
      </c>
    </row>
    <row r="12">
      <c r="A12" s="6" t="s">
        <v>338</v>
      </c>
      <c r="B12" s="6" t="s">
        <v>15</v>
      </c>
      <c r="C12" s="6" t="s">
        <v>369</v>
      </c>
      <c r="D12" s="6" t="s">
        <v>370</v>
      </c>
    </row>
    <row r="13">
      <c r="A13" s="6" t="s">
        <v>339</v>
      </c>
      <c r="B13" s="6" t="s">
        <v>16</v>
      </c>
      <c r="C13" s="6" t="s">
        <v>371</v>
      </c>
      <c r="D13" s="6" t="s">
        <v>372</v>
      </c>
    </row>
    <row r="14">
      <c r="A14" s="8" t="s">
        <v>340</v>
      </c>
      <c r="B14" s="8" t="s">
        <v>17</v>
      </c>
      <c r="C14" s="8" t="s">
        <v>373</v>
      </c>
      <c r="D14" s="19" t="s">
        <v>374</v>
      </c>
    </row>
    <row r="15">
      <c r="A15" s="6" t="s">
        <v>341</v>
      </c>
      <c r="B15" s="6" t="s">
        <v>18</v>
      </c>
      <c r="C15" s="6" t="s">
        <v>375</v>
      </c>
      <c r="D15" s="6" t="s">
        <v>376</v>
      </c>
    </row>
    <row r="16">
      <c r="A16" s="6" t="s">
        <v>342</v>
      </c>
      <c r="B16" s="6" t="s">
        <v>19</v>
      </c>
      <c r="C16" s="6" t="s">
        <v>377</v>
      </c>
      <c r="D16" s="6" t="s">
        <v>378</v>
      </c>
    </row>
    <row r="17">
      <c r="A17" s="6" t="s">
        <v>343</v>
      </c>
      <c r="B17" s="6" t="s">
        <v>20</v>
      </c>
      <c r="C17" s="6" t="s">
        <v>379</v>
      </c>
      <c r="D17" s="6" t="s">
        <v>380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1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5.13"/>
    <col customWidth="1" min="3" max="3" width="240.88"/>
    <col customWidth="1" min="4" max="4" width="15.75"/>
    <col customWidth="1" min="5" max="5" width="16.88"/>
    <col customWidth="1" min="6" max="26" width="8.63"/>
  </cols>
  <sheetData>
    <row r="1">
      <c r="A1" s="1" t="s">
        <v>0</v>
      </c>
      <c r="B1" s="1" t="s">
        <v>1</v>
      </c>
      <c r="C1" s="1" t="s">
        <v>2</v>
      </c>
      <c r="D1" s="1" t="s">
        <v>3</v>
      </c>
      <c r="E1" s="1" t="s">
        <v>4</v>
      </c>
    </row>
    <row r="2">
      <c r="A2" s="6" t="s">
        <v>21</v>
      </c>
      <c r="B2" s="6" t="s">
        <v>22</v>
      </c>
      <c r="C2" s="6" t="s">
        <v>23</v>
      </c>
      <c r="D2" s="6">
        <v>1.0</v>
      </c>
      <c r="E2" s="6" t="s">
        <v>24</v>
      </c>
    </row>
    <row r="3">
      <c r="A3" s="6" t="s">
        <v>25</v>
      </c>
      <c r="B3" s="6" t="s">
        <v>26</v>
      </c>
      <c r="C3" s="6" t="s">
        <v>27</v>
      </c>
      <c r="D3" s="6">
        <v>2.0</v>
      </c>
      <c r="E3" s="6" t="s">
        <v>24</v>
      </c>
    </row>
    <row r="4">
      <c r="A4" s="6" t="s">
        <v>28</v>
      </c>
      <c r="B4" s="6" t="s">
        <v>29</v>
      </c>
      <c r="C4" s="6" t="s">
        <v>30</v>
      </c>
      <c r="D4" s="6">
        <v>3.0</v>
      </c>
      <c r="E4" s="6" t="s">
        <v>24</v>
      </c>
    </row>
    <row r="5">
      <c r="A5" s="6" t="s">
        <v>31</v>
      </c>
      <c r="B5" s="6" t="s">
        <v>32</v>
      </c>
      <c r="C5" s="6" t="s">
        <v>33</v>
      </c>
      <c r="D5" s="6">
        <v>4.0</v>
      </c>
      <c r="E5" s="6" t="s">
        <v>24</v>
      </c>
    </row>
    <row r="6">
      <c r="A6" s="6" t="s">
        <v>34</v>
      </c>
      <c r="B6" s="6" t="s">
        <v>35</v>
      </c>
      <c r="C6" s="6" t="s">
        <v>36</v>
      </c>
      <c r="D6" s="6">
        <v>4.0</v>
      </c>
      <c r="E6" s="6" t="s">
        <v>24</v>
      </c>
    </row>
    <row r="7">
      <c r="A7" s="6" t="s">
        <v>37</v>
      </c>
      <c r="B7" s="6" t="s">
        <v>38</v>
      </c>
      <c r="C7" s="6" t="s">
        <v>39</v>
      </c>
      <c r="D7" s="6">
        <v>4.0</v>
      </c>
      <c r="E7" s="6" t="s">
        <v>24</v>
      </c>
    </row>
    <row r="8">
      <c r="A8" s="6" t="s">
        <v>40</v>
      </c>
      <c r="B8" s="6" t="s">
        <v>41</v>
      </c>
      <c r="C8" s="6" t="s">
        <v>42</v>
      </c>
      <c r="D8" s="6">
        <v>4.0</v>
      </c>
      <c r="E8" s="6" t="s">
        <v>24</v>
      </c>
    </row>
    <row r="9">
      <c r="A9" s="6" t="s">
        <v>43</v>
      </c>
      <c r="B9" s="6" t="s">
        <v>44</v>
      </c>
      <c r="C9" s="6" t="s">
        <v>45</v>
      </c>
      <c r="D9" s="6">
        <v>4.0</v>
      </c>
      <c r="E9" s="6" t="s">
        <v>24</v>
      </c>
    </row>
    <row r="10">
      <c r="A10" s="6" t="s">
        <v>46</v>
      </c>
      <c r="B10" s="6" t="s">
        <v>47</v>
      </c>
      <c r="C10" s="6" t="s">
        <v>48</v>
      </c>
      <c r="D10" s="6">
        <v>3.0</v>
      </c>
      <c r="E10" s="6" t="s">
        <v>49</v>
      </c>
    </row>
    <row r="11">
      <c r="A11" s="6" t="s">
        <v>51</v>
      </c>
      <c r="B11" s="6" t="s">
        <v>52</v>
      </c>
      <c r="C11" s="6" t="s">
        <v>53</v>
      </c>
      <c r="D11" s="6">
        <v>3.0</v>
      </c>
      <c r="E11" s="6" t="s">
        <v>24</v>
      </c>
    </row>
    <row r="12">
      <c r="A12" s="6" t="s">
        <v>54</v>
      </c>
      <c r="B12" s="6" t="s">
        <v>55</v>
      </c>
      <c r="C12" s="6" t="s">
        <v>56</v>
      </c>
      <c r="D12" s="6">
        <v>4.0</v>
      </c>
      <c r="E12" s="6" t="s">
        <v>24</v>
      </c>
    </row>
    <row r="13">
      <c r="A13" s="6" t="s">
        <v>57</v>
      </c>
      <c r="B13" s="6" t="s">
        <v>58</v>
      </c>
      <c r="C13" s="6" t="s">
        <v>59</v>
      </c>
      <c r="D13" s="6">
        <v>4.0</v>
      </c>
      <c r="E13" s="6" t="s">
        <v>24</v>
      </c>
    </row>
    <row r="14">
      <c r="A14" s="6" t="s">
        <v>60</v>
      </c>
      <c r="B14" s="6" t="s">
        <v>61</v>
      </c>
      <c r="C14" s="6" t="s">
        <v>62</v>
      </c>
      <c r="D14" s="6">
        <v>4.0</v>
      </c>
      <c r="E14" s="6" t="s">
        <v>24</v>
      </c>
    </row>
    <row r="15">
      <c r="A15" s="6" t="s">
        <v>63</v>
      </c>
      <c r="B15" s="6" t="s">
        <v>64</v>
      </c>
      <c r="C15" s="6" t="s">
        <v>65</v>
      </c>
      <c r="D15" s="6">
        <v>4.0</v>
      </c>
      <c r="E15" s="6" t="s">
        <v>24</v>
      </c>
    </row>
    <row r="16">
      <c r="A16" s="6" t="s">
        <v>66</v>
      </c>
      <c r="B16" s="6" t="s">
        <v>67</v>
      </c>
      <c r="C16" s="6" t="s">
        <v>68</v>
      </c>
      <c r="D16" s="6">
        <v>4.0</v>
      </c>
      <c r="E16" s="6" t="s">
        <v>24</v>
      </c>
    </row>
    <row r="17">
      <c r="A17" s="6" t="s">
        <v>69</v>
      </c>
      <c r="B17" s="6" t="s">
        <v>70</v>
      </c>
      <c r="C17" s="6" t="s">
        <v>71</v>
      </c>
      <c r="D17" s="6">
        <v>4.0</v>
      </c>
      <c r="E17" s="6" t="s">
        <v>24</v>
      </c>
    </row>
    <row r="18">
      <c r="A18" s="6" t="s">
        <v>72</v>
      </c>
      <c r="B18" s="6" t="s">
        <v>73</v>
      </c>
      <c r="C18" s="6" t="s">
        <v>74</v>
      </c>
      <c r="D18" s="6">
        <v>2.0</v>
      </c>
      <c r="E18" s="6" t="s">
        <v>24</v>
      </c>
    </row>
    <row r="19">
      <c r="A19" s="6" t="s">
        <v>75</v>
      </c>
      <c r="B19" s="6" t="s">
        <v>76</v>
      </c>
      <c r="C19" s="6" t="s">
        <v>77</v>
      </c>
      <c r="D19" s="6">
        <v>3.0</v>
      </c>
      <c r="E19" s="6" t="s">
        <v>24</v>
      </c>
    </row>
    <row r="20">
      <c r="A20" s="6" t="s">
        <v>78</v>
      </c>
      <c r="B20" s="6" t="s">
        <v>79</v>
      </c>
      <c r="C20" s="6" t="s">
        <v>80</v>
      </c>
      <c r="D20" s="6">
        <v>4.0</v>
      </c>
      <c r="E20" s="6" t="s">
        <v>49</v>
      </c>
    </row>
    <row r="21" ht="15.75" customHeight="1">
      <c r="A21" s="6" t="s">
        <v>81</v>
      </c>
      <c r="B21" s="6" t="s">
        <v>82</v>
      </c>
      <c r="C21" s="6" t="s">
        <v>83</v>
      </c>
      <c r="D21" s="6">
        <v>4.0</v>
      </c>
      <c r="E21" s="6" t="s">
        <v>49</v>
      </c>
    </row>
    <row r="22" ht="15.75" customHeight="1">
      <c r="A22" s="6" t="s">
        <v>84</v>
      </c>
      <c r="B22" s="6" t="s">
        <v>85</v>
      </c>
      <c r="C22" s="6" t="s">
        <v>86</v>
      </c>
      <c r="D22" s="6">
        <v>3.0</v>
      </c>
      <c r="E22" s="6" t="s">
        <v>24</v>
      </c>
    </row>
    <row r="23" ht="15.75" customHeight="1">
      <c r="A23" s="6" t="s">
        <v>87</v>
      </c>
      <c r="B23" s="6" t="s">
        <v>88</v>
      </c>
      <c r="C23" s="6" t="s">
        <v>89</v>
      </c>
      <c r="D23" s="6">
        <v>4.0</v>
      </c>
      <c r="E23" s="6" t="s">
        <v>49</v>
      </c>
    </row>
    <row r="24" ht="15.75" customHeight="1">
      <c r="A24" s="6" t="s">
        <v>90</v>
      </c>
      <c r="B24" s="6" t="s">
        <v>91</v>
      </c>
      <c r="C24" s="6" t="s">
        <v>92</v>
      </c>
      <c r="D24" s="6">
        <v>4.0</v>
      </c>
      <c r="E24" s="6" t="s">
        <v>49</v>
      </c>
    </row>
    <row r="25" ht="15.75" customHeight="1">
      <c r="A25" s="6" t="s">
        <v>93</v>
      </c>
      <c r="B25" s="6" t="s">
        <v>85</v>
      </c>
      <c r="C25" s="6" t="s">
        <v>94</v>
      </c>
      <c r="D25" s="6">
        <v>3.0</v>
      </c>
      <c r="E25" s="6" t="s">
        <v>49</v>
      </c>
    </row>
    <row r="26" ht="15.75" customHeight="1">
      <c r="A26" s="6" t="s">
        <v>95</v>
      </c>
      <c r="B26" s="6" t="s">
        <v>96</v>
      </c>
      <c r="C26" s="6" t="s">
        <v>97</v>
      </c>
      <c r="D26" s="6">
        <v>3.0</v>
      </c>
      <c r="E26" s="6" t="s">
        <v>49</v>
      </c>
    </row>
    <row r="27" ht="15.75" customHeight="1">
      <c r="A27" s="6" t="s">
        <v>98</v>
      </c>
      <c r="B27" s="6" t="s">
        <v>99</v>
      </c>
      <c r="C27" s="6" t="s">
        <v>100</v>
      </c>
      <c r="D27" s="6">
        <v>3.0</v>
      </c>
      <c r="E27" s="6" t="s">
        <v>49</v>
      </c>
    </row>
    <row r="28" ht="15.75" customHeight="1">
      <c r="A28" s="6" t="s">
        <v>101</v>
      </c>
      <c r="B28" s="6" t="s">
        <v>102</v>
      </c>
      <c r="C28" s="6" t="s">
        <v>103</v>
      </c>
      <c r="D28" s="6">
        <v>3.0</v>
      </c>
      <c r="E28" s="6" t="s">
        <v>49</v>
      </c>
    </row>
    <row r="29" ht="15.75" customHeight="1">
      <c r="A29" s="6" t="s">
        <v>104</v>
      </c>
      <c r="B29" s="6" t="s">
        <v>105</v>
      </c>
      <c r="C29" s="6" t="s">
        <v>106</v>
      </c>
      <c r="D29" s="6">
        <v>1.0</v>
      </c>
      <c r="E29" s="6" t="s">
        <v>24</v>
      </c>
    </row>
    <row r="30" ht="15.75" customHeight="1">
      <c r="A30" s="6" t="s">
        <v>107</v>
      </c>
      <c r="B30" s="6" t="s">
        <v>108</v>
      </c>
      <c r="C30" s="6" t="s">
        <v>109</v>
      </c>
      <c r="D30" s="6">
        <v>2.0</v>
      </c>
      <c r="E30" s="6" t="s">
        <v>24</v>
      </c>
    </row>
    <row r="31" ht="15.75" customHeight="1">
      <c r="A31" s="6" t="s">
        <v>110</v>
      </c>
      <c r="B31" s="6" t="s">
        <v>111</v>
      </c>
      <c r="C31" s="6" t="s">
        <v>112</v>
      </c>
      <c r="D31" s="6">
        <v>3.0</v>
      </c>
      <c r="E31" s="6" t="s">
        <v>24</v>
      </c>
    </row>
    <row r="32" ht="15.75" customHeight="1">
      <c r="A32" s="6" t="s">
        <v>113</v>
      </c>
      <c r="B32" s="6" t="s">
        <v>114</v>
      </c>
      <c r="C32" s="6" t="s">
        <v>115</v>
      </c>
      <c r="D32" s="6">
        <v>4.0</v>
      </c>
      <c r="E32" s="6" t="s">
        <v>49</v>
      </c>
    </row>
    <row r="33" ht="15.75" customHeight="1">
      <c r="A33" s="6" t="s">
        <v>116</v>
      </c>
      <c r="B33" s="6" t="s">
        <v>117</v>
      </c>
      <c r="C33" s="6" t="s">
        <v>118</v>
      </c>
      <c r="D33" s="6">
        <v>4.0</v>
      </c>
      <c r="E33" s="6" t="s">
        <v>49</v>
      </c>
    </row>
    <row r="34" ht="15.75" customHeight="1">
      <c r="A34" s="6" t="s">
        <v>119</v>
      </c>
      <c r="B34" s="6" t="s">
        <v>120</v>
      </c>
      <c r="C34" s="6" t="s">
        <v>121</v>
      </c>
      <c r="D34" s="6">
        <v>4.0</v>
      </c>
      <c r="E34" s="6" t="s">
        <v>49</v>
      </c>
    </row>
    <row r="35" ht="15.75" customHeight="1">
      <c r="A35" s="6" t="s">
        <v>122</v>
      </c>
      <c r="B35" s="6" t="s">
        <v>123</v>
      </c>
      <c r="C35" s="6" t="s">
        <v>124</v>
      </c>
      <c r="D35" s="6">
        <v>4.0</v>
      </c>
      <c r="E35" s="6" t="s">
        <v>49</v>
      </c>
    </row>
    <row r="36" ht="15.75" customHeight="1">
      <c r="A36" s="6" t="s">
        <v>125</v>
      </c>
      <c r="B36" s="6" t="s">
        <v>126</v>
      </c>
      <c r="C36" s="6" t="s">
        <v>127</v>
      </c>
      <c r="D36" s="6">
        <v>4.0</v>
      </c>
      <c r="E36" s="6" t="s">
        <v>49</v>
      </c>
    </row>
    <row r="37" ht="15.75" customHeight="1">
      <c r="A37" s="6" t="s">
        <v>128</v>
      </c>
      <c r="B37" s="6" t="s">
        <v>129</v>
      </c>
      <c r="C37" s="6" t="s">
        <v>130</v>
      </c>
      <c r="D37" s="6">
        <v>3.0</v>
      </c>
      <c r="E37" s="6" t="s">
        <v>49</v>
      </c>
    </row>
    <row r="38" ht="15.75" customHeight="1">
      <c r="A38" s="6" t="s">
        <v>131</v>
      </c>
      <c r="B38" s="6" t="s">
        <v>132</v>
      </c>
      <c r="C38" s="6" t="s">
        <v>133</v>
      </c>
      <c r="D38" s="6">
        <v>3.0</v>
      </c>
      <c r="E38" s="6" t="s">
        <v>49</v>
      </c>
    </row>
    <row r="39" ht="15.75" customHeight="1">
      <c r="A39" s="6" t="s">
        <v>134</v>
      </c>
      <c r="B39" s="6" t="s">
        <v>135</v>
      </c>
      <c r="C39" s="6" t="s">
        <v>136</v>
      </c>
      <c r="D39" s="6">
        <v>3.0</v>
      </c>
      <c r="E39" s="6" t="s">
        <v>49</v>
      </c>
    </row>
    <row r="40" ht="15.75" customHeight="1">
      <c r="A40" s="6" t="s">
        <v>137</v>
      </c>
      <c r="B40" s="6" t="s">
        <v>138</v>
      </c>
      <c r="C40" s="6" t="s">
        <v>139</v>
      </c>
      <c r="D40" s="6">
        <v>3.0</v>
      </c>
      <c r="E40" s="6" t="s">
        <v>24</v>
      </c>
    </row>
    <row r="41" ht="15.75" customHeight="1">
      <c r="A41" s="6" t="s">
        <v>140</v>
      </c>
      <c r="B41" s="6" t="s">
        <v>141</v>
      </c>
      <c r="C41" s="6" t="s">
        <v>142</v>
      </c>
      <c r="D41" s="6">
        <v>4.0</v>
      </c>
      <c r="E41" s="6" t="s">
        <v>49</v>
      </c>
    </row>
    <row r="42" ht="15.75" customHeight="1">
      <c r="A42" s="6" t="s">
        <v>143</v>
      </c>
      <c r="B42" s="6" t="s">
        <v>144</v>
      </c>
      <c r="C42" s="6" t="s">
        <v>145</v>
      </c>
      <c r="D42" s="6">
        <v>4.0</v>
      </c>
      <c r="E42" s="6" t="s">
        <v>49</v>
      </c>
    </row>
    <row r="43" ht="15.75" customHeight="1">
      <c r="A43" s="6" t="s">
        <v>146</v>
      </c>
      <c r="B43" s="6" t="s">
        <v>147</v>
      </c>
      <c r="C43" s="6" t="s">
        <v>148</v>
      </c>
      <c r="D43" s="6">
        <v>3.0</v>
      </c>
      <c r="E43" s="6" t="s">
        <v>24</v>
      </c>
    </row>
    <row r="44" ht="15.75" customHeight="1">
      <c r="A44" s="6" t="s">
        <v>149</v>
      </c>
      <c r="B44" s="6" t="s">
        <v>150</v>
      </c>
      <c r="C44" s="6" t="s">
        <v>151</v>
      </c>
      <c r="D44" s="6">
        <v>4.0</v>
      </c>
      <c r="E44" s="6" t="s">
        <v>49</v>
      </c>
    </row>
    <row r="45" ht="15.75" customHeight="1">
      <c r="A45" s="6" t="s">
        <v>152</v>
      </c>
      <c r="B45" s="6" t="s">
        <v>153</v>
      </c>
      <c r="C45" s="6" t="s">
        <v>154</v>
      </c>
      <c r="D45" s="6">
        <v>4.0</v>
      </c>
      <c r="E45" s="6" t="s">
        <v>49</v>
      </c>
    </row>
    <row r="46" ht="15.75" customHeight="1">
      <c r="A46" s="6" t="s">
        <v>155</v>
      </c>
      <c r="B46" s="6" t="s">
        <v>156</v>
      </c>
      <c r="C46" s="6" t="s">
        <v>157</v>
      </c>
      <c r="D46" s="6">
        <v>4.0</v>
      </c>
      <c r="E46" s="6" t="s">
        <v>49</v>
      </c>
    </row>
    <row r="47" ht="15.75" customHeight="1">
      <c r="A47" s="6" t="s">
        <v>158</v>
      </c>
      <c r="B47" s="6" t="s">
        <v>159</v>
      </c>
      <c r="C47" s="6" t="s">
        <v>160</v>
      </c>
      <c r="D47" s="6">
        <v>3.0</v>
      </c>
      <c r="E47" s="6" t="s">
        <v>24</v>
      </c>
    </row>
    <row r="48" ht="15.75" customHeight="1">
      <c r="A48" s="6" t="s">
        <v>161</v>
      </c>
      <c r="B48" s="6" t="s">
        <v>162</v>
      </c>
      <c r="C48" s="6" t="s">
        <v>163</v>
      </c>
      <c r="D48" s="6">
        <v>4.0</v>
      </c>
      <c r="E48" s="6" t="s">
        <v>49</v>
      </c>
    </row>
    <row r="49" ht="15.75" customHeight="1">
      <c r="A49" s="6" t="s">
        <v>164</v>
      </c>
      <c r="B49" s="6" t="s">
        <v>165</v>
      </c>
      <c r="C49" s="6" t="s">
        <v>166</v>
      </c>
      <c r="D49" s="6">
        <v>4.0</v>
      </c>
      <c r="E49" s="6" t="s">
        <v>49</v>
      </c>
    </row>
    <row r="50" ht="15.75" customHeight="1">
      <c r="A50" s="6" t="s">
        <v>167</v>
      </c>
      <c r="B50" s="6" t="s">
        <v>168</v>
      </c>
      <c r="C50" s="6" t="s">
        <v>169</v>
      </c>
      <c r="D50" s="6">
        <v>3.0</v>
      </c>
      <c r="E50" s="6" t="s">
        <v>49</v>
      </c>
    </row>
    <row r="51" ht="15.75" customHeight="1">
      <c r="A51" s="6" t="s">
        <v>170</v>
      </c>
      <c r="B51" s="6" t="s">
        <v>171</v>
      </c>
      <c r="C51" s="6" t="s">
        <v>172</v>
      </c>
      <c r="D51" s="6">
        <v>3.0</v>
      </c>
      <c r="E51" s="6" t="s">
        <v>24</v>
      </c>
    </row>
    <row r="52" ht="15.75" customHeight="1">
      <c r="A52" s="6" t="s">
        <v>173</v>
      </c>
      <c r="B52" s="6" t="s">
        <v>174</v>
      </c>
      <c r="C52" s="6" t="s">
        <v>175</v>
      </c>
      <c r="D52" s="6">
        <v>4.0</v>
      </c>
      <c r="E52" s="6" t="s">
        <v>49</v>
      </c>
    </row>
    <row r="53" ht="15.75" customHeight="1">
      <c r="A53" s="6" t="s">
        <v>176</v>
      </c>
      <c r="B53" s="6" t="s">
        <v>177</v>
      </c>
      <c r="C53" s="6" t="s">
        <v>178</v>
      </c>
      <c r="D53" s="6">
        <v>4.0</v>
      </c>
      <c r="E53" s="6" t="s">
        <v>49</v>
      </c>
    </row>
    <row r="54" ht="15.75" customHeight="1">
      <c r="A54" s="6" t="s">
        <v>179</v>
      </c>
      <c r="B54" s="6" t="s">
        <v>180</v>
      </c>
      <c r="C54" s="6" t="s">
        <v>181</v>
      </c>
      <c r="D54" s="6">
        <v>4.0</v>
      </c>
      <c r="E54" s="6" t="s">
        <v>24</v>
      </c>
    </row>
    <row r="55" ht="15.75" customHeight="1">
      <c r="A55" s="6" t="s">
        <v>182</v>
      </c>
      <c r="B55" s="6" t="s">
        <v>183</v>
      </c>
      <c r="C55" s="6" t="s">
        <v>184</v>
      </c>
      <c r="D55" s="6">
        <v>4.0</v>
      </c>
      <c r="E55" s="6" t="s">
        <v>24</v>
      </c>
    </row>
    <row r="56" ht="15.75" customHeight="1">
      <c r="A56" s="6" t="s">
        <v>185</v>
      </c>
      <c r="B56" s="6" t="s">
        <v>186</v>
      </c>
      <c r="C56" s="6" t="s">
        <v>187</v>
      </c>
      <c r="D56" s="6">
        <v>3.0</v>
      </c>
      <c r="E56" s="6" t="s">
        <v>24</v>
      </c>
    </row>
    <row r="57" ht="15.75" customHeight="1">
      <c r="A57" s="6" t="s">
        <v>188</v>
      </c>
      <c r="B57" s="6" t="s">
        <v>189</v>
      </c>
      <c r="C57" s="6" t="s">
        <v>190</v>
      </c>
      <c r="D57" s="6">
        <v>4.0</v>
      </c>
      <c r="E57" s="6" t="s">
        <v>24</v>
      </c>
    </row>
    <row r="58" ht="15.75" customHeight="1">
      <c r="A58" s="6" t="s">
        <v>191</v>
      </c>
      <c r="B58" s="6" t="s">
        <v>192</v>
      </c>
      <c r="C58" s="6" t="s">
        <v>193</v>
      </c>
      <c r="D58" s="6">
        <v>4.0</v>
      </c>
      <c r="E58" s="6" t="s">
        <v>24</v>
      </c>
    </row>
    <row r="59" ht="15.75" customHeight="1">
      <c r="A59" s="6" t="s">
        <v>194</v>
      </c>
      <c r="B59" s="6" t="s">
        <v>195</v>
      </c>
      <c r="C59" s="6" t="s">
        <v>196</v>
      </c>
      <c r="D59" s="6">
        <v>4.0</v>
      </c>
      <c r="E59" s="6" t="s">
        <v>24</v>
      </c>
    </row>
    <row r="60" ht="15.75" customHeight="1">
      <c r="A60" s="6" t="s">
        <v>197</v>
      </c>
      <c r="B60" s="6" t="s">
        <v>198</v>
      </c>
      <c r="C60" s="6" t="s">
        <v>199</v>
      </c>
      <c r="D60" s="6">
        <v>2.0</v>
      </c>
      <c r="E60" s="6" t="s">
        <v>24</v>
      </c>
    </row>
    <row r="61" ht="15.75" customHeight="1">
      <c r="A61" s="6" t="s">
        <v>200</v>
      </c>
      <c r="B61" s="6" t="s">
        <v>201</v>
      </c>
      <c r="C61" s="6" t="s">
        <v>202</v>
      </c>
      <c r="D61" s="6">
        <v>3.0</v>
      </c>
      <c r="E61" s="6" t="s">
        <v>24</v>
      </c>
    </row>
    <row r="62" ht="15.75" customHeight="1">
      <c r="A62" s="6" t="s">
        <v>203</v>
      </c>
      <c r="B62" s="6" t="s">
        <v>204</v>
      </c>
      <c r="C62" s="6" t="s">
        <v>205</v>
      </c>
      <c r="D62" s="6">
        <v>3.0</v>
      </c>
      <c r="E62" s="6" t="s">
        <v>24</v>
      </c>
    </row>
    <row r="63" ht="15.75" customHeight="1">
      <c r="A63" s="6" t="s">
        <v>206</v>
      </c>
      <c r="B63" s="6" t="s">
        <v>207</v>
      </c>
      <c r="C63" s="6" t="s">
        <v>208</v>
      </c>
      <c r="D63" s="6">
        <v>1.0</v>
      </c>
      <c r="E63" s="6" t="s">
        <v>24</v>
      </c>
    </row>
    <row r="64" ht="15.75" customHeight="1">
      <c r="A64" s="6" t="s">
        <v>209</v>
      </c>
      <c r="B64" s="6" t="s">
        <v>210</v>
      </c>
      <c r="C64" s="6" t="s">
        <v>211</v>
      </c>
      <c r="D64" s="6">
        <v>2.0</v>
      </c>
      <c r="E64" s="6" t="s">
        <v>24</v>
      </c>
    </row>
    <row r="65" ht="15.75" customHeight="1">
      <c r="A65" s="6" t="s">
        <v>212</v>
      </c>
      <c r="B65" s="6" t="s">
        <v>213</v>
      </c>
      <c r="C65" s="6" t="s">
        <v>214</v>
      </c>
      <c r="D65" s="6">
        <v>3.0</v>
      </c>
      <c r="E65" s="6" t="s">
        <v>49</v>
      </c>
    </row>
    <row r="66" ht="15.75" customHeight="1">
      <c r="A66" s="6" t="s">
        <v>215</v>
      </c>
      <c r="B66" s="6" t="s">
        <v>216</v>
      </c>
      <c r="C66" s="6" t="s">
        <v>217</v>
      </c>
      <c r="D66" s="6">
        <v>3.0</v>
      </c>
      <c r="E66" s="6" t="s">
        <v>49</v>
      </c>
    </row>
    <row r="67" ht="15.75" customHeight="1">
      <c r="A67" s="6" t="s">
        <v>218</v>
      </c>
      <c r="B67" s="6" t="s">
        <v>219</v>
      </c>
      <c r="C67" s="6" t="s">
        <v>220</v>
      </c>
      <c r="D67" s="6">
        <v>3.0</v>
      </c>
      <c r="E67" s="6" t="s">
        <v>24</v>
      </c>
    </row>
    <row r="68" ht="15.75" customHeight="1">
      <c r="A68" s="6" t="s">
        <v>221</v>
      </c>
      <c r="B68" s="6" t="s">
        <v>222</v>
      </c>
      <c r="C68" s="6" t="s">
        <v>223</v>
      </c>
      <c r="D68" s="6">
        <v>2.0</v>
      </c>
      <c r="E68" s="6" t="s">
        <v>24</v>
      </c>
    </row>
    <row r="69" ht="15.75" customHeight="1">
      <c r="A69" s="6" t="s">
        <v>224</v>
      </c>
      <c r="B69" s="6" t="s">
        <v>225</v>
      </c>
      <c r="C69" s="6" t="s">
        <v>226</v>
      </c>
      <c r="D69" s="6">
        <v>3.0</v>
      </c>
      <c r="E69" s="6" t="s">
        <v>24</v>
      </c>
    </row>
    <row r="70" ht="15.75" customHeight="1">
      <c r="A70" s="6" t="s">
        <v>227</v>
      </c>
      <c r="B70" s="6" t="s">
        <v>228</v>
      </c>
      <c r="C70" s="6" t="s">
        <v>229</v>
      </c>
      <c r="D70" s="6">
        <v>4.0</v>
      </c>
      <c r="E70" s="6" t="s">
        <v>49</v>
      </c>
    </row>
    <row r="71" ht="15.75" customHeight="1">
      <c r="A71" s="6" t="s">
        <v>230</v>
      </c>
      <c r="B71" s="6" t="s">
        <v>231</v>
      </c>
      <c r="C71" s="6" t="s">
        <v>232</v>
      </c>
      <c r="D71" s="6">
        <v>4.0</v>
      </c>
      <c r="E71" s="6" t="s">
        <v>49</v>
      </c>
    </row>
    <row r="72" ht="15.75" customHeight="1">
      <c r="A72" s="6" t="s">
        <v>233</v>
      </c>
      <c r="B72" s="6" t="s">
        <v>234</v>
      </c>
      <c r="C72" s="6" t="s">
        <v>235</v>
      </c>
      <c r="D72" s="6">
        <v>3.0</v>
      </c>
      <c r="E72" s="6" t="s">
        <v>24</v>
      </c>
    </row>
    <row r="73" ht="15.75" customHeight="1">
      <c r="A73" s="6" t="s">
        <v>236</v>
      </c>
      <c r="B73" s="6" t="s">
        <v>237</v>
      </c>
      <c r="C73" s="6" t="s">
        <v>238</v>
      </c>
      <c r="D73" s="6">
        <v>4.0</v>
      </c>
      <c r="E73" s="6" t="s">
        <v>49</v>
      </c>
    </row>
    <row r="74" ht="15.75" customHeight="1">
      <c r="A74" s="6" t="s">
        <v>239</v>
      </c>
      <c r="B74" s="6" t="s">
        <v>240</v>
      </c>
      <c r="C74" s="6" t="s">
        <v>241</v>
      </c>
      <c r="D74" s="6">
        <v>4.0</v>
      </c>
      <c r="E74" s="6" t="s">
        <v>49</v>
      </c>
    </row>
    <row r="75" ht="15.75" customHeight="1">
      <c r="A75" s="6" t="s">
        <v>242</v>
      </c>
      <c r="B75" s="6" t="s">
        <v>243</v>
      </c>
      <c r="C75" s="6" t="s">
        <v>244</v>
      </c>
      <c r="D75" s="6">
        <v>4.0</v>
      </c>
      <c r="E75" s="6" t="s">
        <v>49</v>
      </c>
    </row>
    <row r="76" ht="15.75" customHeight="1">
      <c r="A76" s="6" t="s">
        <v>245</v>
      </c>
      <c r="B76" s="6" t="s">
        <v>246</v>
      </c>
      <c r="C76" s="6" t="s">
        <v>247</v>
      </c>
      <c r="D76" s="6">
        <v>3.0</v>
      </c>
      <c r="E76" s="6" t="s">
        <v>24</v>
      </c>
    </row>
    <row r="77" ht="15.75" customHeight="1">
      <c r="A77" s="6" t="s">
        <v>248</v>
      </c>
      <c r="B77" s="6" t="s">
        <v>249</v>
      </c>
      <c r="C77" s="6" t="s">
        <v>250</v>
      </c>
      <c r="D77" s="6">
        <v>4.0</v>
      </c>
      <c r="E77" s="6" t="s">
        <v>49</v>
      </c>
    </row>
    <row r="78" ht="15.75" customHeight="1">
      <c r="A78" s="6" t="s">
        <v>251</v>
      </c>
      <c r="B78" s="6" t="s">
        <v>252</v>
      </c>
      <c r="C78" s="6" t="s">
        <v>253</v>
      </c>
      <c r="D78" s="6">
        <v>4.0</v>
      </c>
      <c r="E78" s="6" t="s">
        <v>49</v>
      </c>
    </row>
    <row r="79" ht="15.75" customHeight="1">
      <c r="A79" s="6" t="s">
        <v>254</v>
      </c>
      <c r="B79" s="6" t="s">
        <v>255</v>
      </c>
      <c r="C79" s="6" t="s">
        <v>256</v>
      </c>
      <c r="D79" s="6">
        <v>4.0</v>
      </c>
      <c r="E79" s="6" t="s">
        <v>49</v>
      </c>
    </row>
    <row r="80" ht="15.75" customHeight="1">
      <c r="A80" s="6" t="s">
        <v>257</v>
      </c>
      <c r="B80" s="6" t="s">
        <v>258</v>
      </c>
      <c r="C80" s="6" t="s">
        <v>259</v>
      </c>
      <c r="D80" s="6">
        <v>2.0</v>
      </c>
      <c r="E80" s="6" t="s">
        <v>24</v>
      </c>
    </row>
    <row r="81" ht="15.75" customHeight="1">
      <c r="A81" s="6" t="s">
        <v>260</v>
      </c>
      <c r="B81" s="6" t="s">
        <v>261</v>
      </c>
      <c r="C81" s="6" t="s">
        <v>262</v>
      </c>
      <c r="D81" s="6">
        <v>3.0</v>
      </c>
      <c r="E81" s="6" t="s">
        <v>49</v>
      </c>
    </row>
    <row r="82" ht="15.75" customHeight="1">
      <c r="A82" s="6" t="s">
        <v>263</v>
      </c>
      <c r="B82" s="6" t="s">
        <v>264</v>
      </c>
      <c r="C82" s="6" t="s">
        <v>265</v>
      </c>
      <c r="D82" s="6">
        <v>3.0</v>
      </c>
      <c r="E82" s="6" t="s">
        <v>49</v>
      </c>
    </row>
    <row r="83" ht="15.75" customHeight="1">
      <c r="A83" s="6" t="s">
        <v>266</v>
      </c>
      <c r="B83" s="6" t="s">
        <v>267</v>
      </c>
      <c r="C83" s="6" t="s">
        <v>268</v>
      </c>
      <c r="D83" s="6">
        <v>3.0</v>
      </c>
      <c r="E83" s="6" t="s">
        <v>49</v>
      </c>
    </row>
    <row r="84" ht="15.75" customHeight="1">
      <c r="A84" s="6" t="s">
        <v>269</v>
      </c>
      <c r="B84" s="6" t="s">
        <v>270</v>
      </c>
      <c r="C84" s="6" t="s">
        <v>271</v>
      </c>
      <c r="D84" s="6">
        <v>3.0</v>
      </c>
      <c r="E84" s="6" t="s">
        <v>49</v>
      </c>
    </row>
    <row r="85" ht="15.75" customHeight="1">
      <c r="A85" s="6" t="s">
        <v>272</v>
      </c>
      <c r="B85" s="6" t="s">
        <v>273</v>
      </c>
      <c r="C85" s="6" t="s">
        <v>274</v>
      </c>
      <c r="D85" s="6">
        <v>3.0</v>
      </c>
      <c r="E85" s="6" t="s">
        <v>49</v>
      </c>
    </row>
    <row r="86" ht="15.75" customHeight="1">
      <c r="A86" s="6" t="s">
        <v>275</v>
      </c>
      <c r="B86" s="6" t="s">
        <v>276</v>
      </c>
      <c r="C86" s="6" t="s">
        <v>277</v>
      </c>
      <c r="D86" s="6">
        <v>3.0</v>
      </c>
      <c r="E86" s="6" t="s">
        <v>49</v>
      </c>
    </row>
    <row r="87" ht="15.75" customHeight="1">
      <c r="A87" s="6" t="s">
        <v>278</v>
      </c>
      <c r="B87" s="6" t="s">
        <v>279</v>
      </c>
      <c r="C87" s="6" t="s">
        <v>280</v>
      </c>
      <c r="D87" s="6">
        <v>3.0</v>
      </c>
      <c r="E87" s="6" t="s">
        <v>49</v>
      </c>
    </row>
    <row r="88" ht="15.75" customHeight="1">
      <c r="A88" s="6" t="s">
        <v>281</v>
      </c>
      <c r="B88" s="6" t="s">
        <v>282</v>
      </c>
      <c r="C88" s="6" t="s">
        <v>283</v>
      </c>
      <c r="D88" s="6">
        <v>3.0</v>
      </c>
      <c r="E88" s="6" t="s">
        <v>49</v>
      </c>
    </row>
    <row r="89" ht="15.75" customHeight="1">
      <c r="A89" s="6" t="s">
        <v>284</v>
      </c>
      <c r="B89" s="6" t="s">
        <v>285</v>
      </c>
      <c r="C89" s="6" t="s">
        <v>286</v>
      </c>
      <c r="D89" s="6">
        <v>1.0</v>
      </c>
      <c r="E89" s="6" t="s">
        <v>24</v>
      </c>
    </row>
    <row r="90" ht="15.75" customHeight="1">
      <c r="A90" s="6" t="s">
        <v>287</v>
      </c>
      <c r="B90" s="6" t="s">
        <v>288</v>
      </c>
      <c r="C90" s="6" t="s">
        <v>289</v>
      </c>
      <c r="D90" s="6">
        <v>2.0</v>
      </c>
      <c r="E90" s="6" t="s">
        <v>24</v>
      </c>
    </row>
    <row r="91" ht="15.75" customHeight="1">
      <c r="A91" s="6" t="s">
        <v>290</v>
      </c>
      <c r="B91" s="6" t="s">
        <v>291</v>
      </c>
      <c r="C91" s="6" t="s">
        <v>292</v>
      </c>
      <c r="D91" s="6">
        <v>3.0</v>
      </c>
      <c r="E91" s="6" t="s">
        <v>49</v>
      </c>
    </row>
    <row r="92" ht="15.75" customHeight="1">
      <c r="A92" s="6" t="s">
        <v>293</v>
      </c>
      <c r="B92" s="6" t="s">
        <v>294</v>
      </c>
      <c r="C92" s="6" t="s">
        <v>295</v>
      </c>
      <c r="D92" s="6">
        <v>3.0</v>
      </c>
      <c r="E92" s="6" t="s">
        <v>49</v>
      </c>
    </row>
    <row r="93" ht="15.75" customHeight="1">
      <c r="A93" s="6" t="s">
        <v>296</v>
      </c>
      <c r="B93" s="6" t="s">
        <v>297</v>
      </c>
      <c r="C93" s="6" t="s">
        <v>298</v>
      </c>
      <c r="D93" s="6">
        <v>2.0</v>
      </c>
      <c r="E93" s="6" t="s">
        <v>24</v>
      </c>
    </row>
    <row r="94" ht="15.75" customHeight="1">
      <c r="A94" s="6" t="s">
        <v>299</v>
      </c>
      <c r="B94" s="6" t="s">
        <v>300</v>
      </c>
      <c r="C94" s="6" t="s">
        <v>301</v>
      </c>
      <c r="D94" s="6">
        <v>3.0</v>
      </c>
      <c r="E94" s="6" t="s">
        <v>49</v>
      </c>
    </row>
    <row r="95" ht="15.75" customHeight="1">
      <c r="A95" s="6" t="s">
        <v>302</v>
      </c>
      <c r="B95" s="6" t="s">
        <v>303</v>
      </c>
      <c r="C95" s="6" t="s">
        <v>304</v>
      </c>
      <c r="D95" s="6">
        <v>3.0</v>
      </c>
      <c r="E95" s="6" t="s">
        <v>49</v>
      </c>
    </row>
    <row r="96" ht="15.75" customHeight="1">
      <c r="A96" s="6" t="s">
        <v>305</v>
      </c>
      <c r="B96" s="6" t="s">
        <v>306</v>
      </c>
      <c r="C96" s="6" t="s">
        <v>307</v>
      </c>
      <c r="D96" s="6">
        <v>1.0</v>
      </c>
      <c r="E96" s="6" t="s">
        <v>24</v>
      </c>
    </row>
    <row r="97" ht="15.75" customHeight="1">
      <c r="A97" s="6" t="s">
        <v>308</v>
      </c>
      <c r="B97" s="6" t="s">
        <v>309</v>
      </c>
      <c r="C97" s="6" t="s">
        <v>310</v>
      </c>
      <c r="D97" s="6">
        <v>2.0</v>
      </c>
      <c r="E97" s="6" t="s">
        <v>49</v>
      </c>
    </row>
    <row r="98" ht="15.75" customHeight="1">
      <c r="A98" s="6" t="s">
        <v>311</v>
      </c>
      <c r="B98" s="6" t="s">
        <v>312</v>
      </c>
      <c r="C98" s="6" t="s">
        <v>313</v>
      </c>
      <c r="D98" s="6">
        <v>2.0</v>
      </c>
      <c r="E98" s="6" t="s">
        <v>49</v>
      </c>
    </row>
    <row r="99" ht="15.75" customHeight="1">
      <c r="A99" s="6" t="s">
        <v>314</v>
      </c>
      <c r="B99" s="6" t="s">
        <v>315</v>
      </c>
      <c r="C99" s="6" t="s">
        <v>316</v>
      </c>
      <c r="D99" s="6">
        <v>2.0</v>
      </c>
      <c r="E99" s="6" t="s">
        <v>49</v>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
    <col customWidth="1" min="2" max="2" width="13.75"/>
    <col customWidth="1" min="3" max="3" width="14.13"/>
    <col customWidth="1" min="4" max="4" width="15.13"/>
    <col customWidth="1" min="5" max="5" width="13.38"/>
    <col customWidth="1" min="6" max="6" width="6.88"/>
    <col customWidth="1" min="7" max="7" width="9.13"/>
    <col customWidth="1" min="8" max="8" width="15.13"/>
    <col customWidth="1" min="9" max="9" width="23.63"/>
    <col customWidth="1" min="10" max="10" width="15.75"/>
    <col customWidth="1" min="11" max="11" width="16.88"/>
    <col customWidth="1" min="12" max="12" width="26.25"/>
    <col customWidth="1" min="13" max="13" width="19.63"/>
    <col customWidth="1" min="14" max="26" width="8.63"/>
  </cols>
  <sheetData>
    <row r="1">
      <c r="A1" s="1" t="s">
        <v>381</v>
      </c>
      <c r="B1" s="1" t="s">
        <v>317</v>
      </c>
      <c r="C1" s="1" t="s">
        <v>318</v>
      </c>
      <c r="D1" s="1" t="s">
        <v>382</v>
      </c>
      <c r="E1" s="1" t="s">
        <v>383</v>
      </c>
      <c r="F1" s="1" t="s">
        <v>384</v>
      </c>
      <c r="G1" s="1" t="s">
        <v>0</v>
      </c>
      <c r="H1" s="1" t="s">
        <v>1</v>
      </c>
      <c r="I1" s="1" t="s">
        <v>2</v>
      </c>
      <c r="J1" s="1" t="s">
        <v>3</v>
      </c>
      <c r="K1" s="1" t="s">
        <v>4</v>
      </c>
      <c r="L1" s="1" t="s">
        <v>385</v>
      </c>
      <c r="M1" s="1" t="s">
        <v>386</v>
      </c>
    </row>
    <row r="2">
      <c r="A2" s="20">
        <v>46128.03295028935</v>
      </c>
      <c r="B2" s="8" t="s">
        <v>340</v>
      </c>
      <c r="C2" s="8" t="s">
        <v>17</v>
      </c>
      <c r="D2" s="8" t="s">
        <v>387</v>
      </c>
      <c r="E2" s="8" t="s">
        <v>387</v>
      </c>
      <c r="F2" s="8" t="s">
        <v>387</v>
      </c>
      <c r="G2" s="8" t="s">
        <v>46</v>
      </c>
      <c r="H2" s="8" t="s">
        <v>47</v>
      </c>
      <c r="I2" s="8" t="s">
        <v>48</v>
      </c>
      <c r="J2" s="21">
        <v>3.0</v>
      </c>
      <c r="K2" s="8" t="b">
        <v>1</v>
      </c>
      <c r="L2" s="8" t="s">
        <v>50</v>
      </c>
      <c r="M2" s="8" t="s">
        <v>388</v>
      </c>
    </row>
    <row r="3">
      <c r="A3" s="20">
        <v>46128.03295028935</v>
      </c>
      <c r="B3" s="8" t="s">
        <v>340</v>
      </c>
      <c r="C3" s="8" t="s">
        <v>17</v>
      </c>
      <c r="D3" s="8" t="s">
        <v>387</v>
      </c>
      <c r="E3" s="8" t="s">
        <v>387</v>
      </c>
      <c r="F3" s="8" t="s">
        <v>387</v>
      </c>
      <c r="G3" s="8" t="s">
        <v>78</v>
      </c>
      <c r="H3" s="8" t="s">
        <v>79</v>
      </c>
      <c r="I3" s="8" t="s">
        <v>80</v>
      </c>
      <c r="J3" s="21">
        <v>4.0</v>
      </c>
      <c r="K3" s="8" t="b">
        <v>1</v>
      </c>
      <c r="L3" s="6"/>
      <c r="M3" s="8" t="s">
        <v>388</v>
      </c>
    </row>
    <row r="4">
      <c r="A4" s="20">
        <v>46128.03295028935</v>
      </c>
      <c r="B4" s="8" t="s">
        <v>340</v>
      </c>
      <c r="C4" s="8" t="s">
        <v>17</v>
      </c>
      <c r="D4" s="8" t="s">
        <v>387</v>
      </c>
      <c r="E4" s="8" t="s">
        <v>387</v>
      </c>
      <c r="F4" s="8" t="s">
        <v>387</v>
      </c>
      <c r="G4" s="8" t="s">
        <v>81</v>
      </c>
      <c r="H4" s="8" t="s">
        <v>82</v>
      </c>
      <c r="I4" s="8" t="s">
        <v>83</v>
      </c>
      <c r="J4" s="21">
        <v>4.0</v>
      </c>
      <c r="K4" s="8" t="b">
        <v>1</v>
      </c>
      <c r="L4" s="6"/>
      <c r="M4" s="8" t="s">
        <v>388</v>
      </c>
    </row>
    <row r="5">
      <c r="A5" s="20">
        <v>46128.03295028935</v>
      </c>
      <c r="B5" s="8" t="s">
        <v>340</v>
      </c>
      <c r="C5" s="8" t="s">
        <v>17</v>
      </c>
      <c r="D5" s="8" t="s">
        <v>387</v>
      </c>
      <c r="E5" s="8" t="s">
        <v>387</v>
      </c>
      <c r="F5" s="8" t="s">
        <v>387</v>
      </c>
      <c r="G5" s="8" t="s">
        <v>87</v>
      </c>
      <c r="H5" s="8" t="s">
        <v>88</v>
      </c>
      <c r="I5" s="8" t="s">
        <v>89</v>
      </c>
      <c r="J5" s="21">
        <v>4.0</v>
      </c>
      <c r="K5" s="8" t="b">
        <v>1</v>
      </c>
      <c r="L5" s="6"/>
      <c r="M5" s="8" t="s">
        <v>388</v>
      </c>
    </row>
    <row r="6">
      <c r="A6" s="20">
        <v>46128.03295028935</v>
      </c>
      <c r="B6" s="8" t="s">
        <v>340</v>
      </c>
      <c r="C6" s="8" t="s">
        <v>17</v>
      </c>
      <c r="D6" s="8" t="s">
        <v>387</v>
      </c>
      <c r="E6" s="8" t="s">
        <v>387</v>
      </c>
      <c r="F6" s="8" t="s">
        <v>387</v>
      </c>
      <c r="G6" s="8" t="s">
        <v>90</v>
      </c>
      <c r="H6" s="8" t="s">
        <v>91</v>
      </c>
      <c r="I6" s="8" t="s">
        <v>92</v>
      </c>
      <c r="J6" s="21">
        <v>4.0</v>
      </c>
      <c r="K6" s="8" t="b">
        <v>1</v>
      </c>
      <c r="L6" s="6"/>
      <c r="M6" s="8" t="s">
        <v>388</v>
      </c>
    </row>
    <row r="7">
      <c r="A7" s="20">
        <v>46128.03295028935</v>
      </c>
      <c r="B7" s="8" t="s">
        <v>340</v>
      </c>
      <c r="C7" s="8" t="s">
        <v>17</v>
      </c>
      <c r="D7" s="8" t="s">
        <v>387</v>
      </c>
      <c r="E7" s="8" t="s">
        <v>387</v>
      </c>
      <c r="F7" s="8" t="s">
        <v>387</v>
      </c>
      <c r="G7" s="8" t="s">
        <v>93</v>
      </c>
      <c r="H7" s="8" t="s">
        <v>85</v>
      </c>
      <c r="I7" s="8" t="s">
        <v>94</v>
      </c>
      <c r="J7" s="21">
        <v>3.0</v>
      </c>
      <c r="K7" s="8" t="b">
        <v>1</v>
      </c>
      <c r="L7" s="6"/>
      <c r="M7" s="8" t="s">
        <v>388</v>
      </c>
    </row>
    <row r="8">
      <c r="A8" s="20">
        <v>46128.03295028935</v>
      </c>
      <c r="B8" s="8" t="s">
        <v>340</v>
      </c>
      <c r="C8" s="8" t="s">
        <v>17</v>
      </c>
      <c r="D8" s="8" t="s">
        <v>387</v>
      </c>
      <c r="E8" s="8" t="s">
        <v>387</v>
      </c>
      <c r="F8" s="8" t="s">
        <v>387</v>
      </c>
      <c r="G8" s="8" t="s">
        <v>95</v>
      </c>
      <c r="H8" s="8" t="s">
        <v>96</v>
      </c>
      <c r="I8" s="8" t="s">
        <v>97</v>
      </c>
      <c r="J8" s="21">
        <v>3.0</v>
      </c>
      <c r="K8" s="8" t="b">
        <v>1</v>
      </c>
      <c r="L8" s="6"/>
      <c r="M8" s="8" t="s">
        <v>388</v>
      </c>
    </row>
    <row r="9">
      <c r="A9" s="20">
        <v>46128.03295028935</v>
      </c>
      <c r="B9" s="8" t="s">
        <v>340</v>
      </c>
      <c r="C9" s="8" t="s">
        <v>17</v>
      </c>
      <c r="D9" s="8" t="s">
        <v>387</v>
      </c>
      <c r="E9" s="8" t="s">
        <v>387</v>
      </c>
      <c r="F9" s="8" t="s">
        <v>387</v>
      </c>
      <c r="G9" s="8" t="s">
        <v>98</v>
      </c>
      <c r="H9" s="8" t="s">
        <v>99</v>
      </c>
      <c r="I9" s="8" t="s">
        <v>100</v>
      </c>
      <c r="J9" s="21">
        <v>3.0</v>
      </c>
      <c r="K9" s="8" t="b">
        <v>1</v>
      </c>
      <c r="L9" s="6"/>
      <c r="M9" s="8" t="s">
        <v>388</v>
      </c>
    </row>
    <row r="10">
      <c r="A10" s="20">
        <v>46128.03295028935</v>
      </c>
      <c r="B10" s="8" t="s">
        <v>340</v>
      </c>
      <c r="C10" s="8" t="s">
        <v>17</v>
      </c>
      <c r="D10" s="8" t="s">
        <v>387</v>
      </c>
      <c r="E10" s="8" t="s">
        <v>387</v>
      </c>
      <c r="F10" s="8" t="s">
        <v>387</v>
      </c>
      <c r="G10" s="8" t="s">
        <v>101</v>
      </c>
      <c r="H10" s="8" t="s">
        <v>102</v>
      </c>
      <c r="I10" s="8" t="s">
        <v>103</v>
      </c>
      <c r="J10" s="21">
        <v>3.0</v>
      </c>
      <c r="K10" s="8" t="b">
        <v>1</v>
      </c>
      <c r="L10" s="6"/>
      <c r="M10" s="8" t="s">
        <v>388</v>
      </c>
    </row>
    <row r="11">
      <c r="A11" s="20">
        <v>46128.03295028935</v>
      </c>
      <c r="B11" s="8" t="s">
        <v>340</v>
      </c>
      <c r="C11" s="8" t="s">
        <v>17</v>
      </c>
      <c r="D11" s="8" t="s">
        <v>387</v>
      </c>
      <c r="E11" s="8" t="s">
        <v>387</v>
      </c>
      <c r="F11" s="8" t="s">
        <v>387</v>
      </c>
      <c r="G11" s="8" t="s">
        <v>113</v>
      </c>
      <c r="H11" s="8" t="s">
        <v>114</v>
      </c>
      <c r="I11" s="8" t="s">
        <v>115</v>
      </c>
      <c r="J11" s="21">
        <v>4.0</v>
      </c>
      <c r="K11" s="8" t="b">
        <v>1</v>
      </c>
      <c r="L11" s="6"/>
      <c r="M11" s="8" t="s">
        <v>388</v>
      </c>
    </row>
    <row r="12">
      <c r="A12" s="20">
        <v>46128.03295028935</v>
      </c>
      <c r="B12" s="8" t="s">
        <v>340</v>
      </c>
      <c r="C12" s="8" t="s">
        <v>17</v>
      </c>
      <c r="D12" s="8" t="s">
        <v>387</v>
      </c>
      <c r="E12" s="8" t="s">
        <v>387</v>
      </c>
      <c r="F12" s="8" t="s">
        <v>387</v>
      </c>
      <c r="G12" s="8" t="s">
        <v>116</v>
      </c>
      <c r="H12" s="8" t="s">
        <v>117</v>
      </c>
      <c r="I12" s="8" t="s">
        <v>118</v>
      </c>
      <c r="J12" s="21">
        <v>4.0</v>
      </c>
      <c r="K12" s="8" t="b">
        <v>1</v>
      </c>
      <c r="L12" s="6"/>
      <c r="M12" s="8" t="s">
        <v>388</v>
      </c>
    </row>
    <row r="13">
      <c r="A13" s="20">
        <v>46128.03295028935</v>
      </c>
      <c r="B13" s="8" t="s">
        <v>340</v>
      </c>
      <c r="C13" s="8" t="s">
        <v>17</v>
      </c>
      <c r="D13" s="8" t="s">
        <v>387</v>
      </c>
      <c r="E13" s="8" t="s">
        <v>387</v>
      </c>
      <c r="F13" s="8" t="s">
        <v>387</v>
      </c>
      <c r="G13" s="8" t="s">
        <v>119</v>
      </c>
      <c r="H13" s="8" t="s">
        <v>120</v>
      </c>
      <c r="I13" s="8" t="s">
        <v>121</v>
      </c>
      <c r="J13" s="21">
        <v>4.0</v>
      </c>
      <c r="K13" s="8" t="b">
        <v>1</v>
      </c>
      <c r="L13" s="6"/>
      <c r="M13" s="8" t="s">
        <v>388</v>
      </c>
    </row>
    <row r="14">
      <c r="A14" s="20">
        <v>46128.03295028935</v>
      </c>
      <c r="B14" s="8" t="s">
        <v>340</v>
      </c>
      <c r="C14" s="8" t="s">
        <v>17</v>
      </c>
      <c r="D14" s="8" t="s">
        <v>387</v>
      </c>
      <c r="E14" s="8" t="s">
        <v>387</v>
      </c>
      <c r="F14" s="8" t="s">
        <v>387</v>
      </c>
      <c r="G14" s="8" t="s">
        <v>122</v>
      </c>
      <c r="H14" s="8" t="s">
        <v>123</v>
      </c>
      <c r="I14" s="8" t="s">
        <v>124</v>
      </c>
      <c r="J14" s="21">
        <v>4.0</v>
      </c>
      <c r="K14" s="8" t="b">
        <v>1</v>
      </c>
      <c r="L14" s="6"/>
      <c r="M14" s="8" t="s">
        <v>388</v>
      </c>
    </row>
    <row r="15">
      <c r="A15" s="20">
        <v>46128.03295028935</v>
      </c>
      <c r="B15" s="8" t="s">
        <v>340</v>
      </c>
      <c r="C15" s="8" t="s">
        <v>17</v>
      </c>
      <c r="D15" s="8" t="s">
        <v>387</v>
      </c>
      <c r="E15" s="8" t="s">
        <v>387</v>
      </c>
      <c r="F15" s="8" t="s">
        <v>387</v>
      </c>
      <c r="G15" s="8" t="s">
        <v>125</v>
      </c>
      <c r="H15" s="8" t="s">
        <v>126</v>
      </c>
      <c r="I15" s="8" t="s">
        <v>127</v>
      </c>
      <c r="J15" s="21">
        <v>4.0</v>
      </c>
      <c r="K15" s="8" t="b">
        <v>1</v>
      </c>
      <c r="L15" s="6"/>
      <c r="M15" s="8" t="s">
        <v>388</v>
      </c>
    </row>
    <row r="16">
      <c r="A16" s="20">
        <v>46128.03295028935</v>
      </c>
      <c r="B16" s="8" t="s">
        <v>340</v>
      </c>
      <c r="C16" s="8" t="s">
        <v>17</v>
      </c>
      <c r="D16" s="8" t="s">
        <v>387</v>
      </c>
      <c r="E16" s="8" t="s">
        <v>387</v>
      </c>
      <c r="F16" s="8" t="s">
        <v>387</v>
      </c>
      <c r="G16" s="8" t="s">
        <v>128</v>
      </c>
      <c r="H16" s="8" t="s">
        <v>129</v>
      </c>
      <c r="I16" s="8" t="s">
        <v>130</v>
      </c>
      <c r="J16" s="21">
        <v>3.0</v>
      </c>
      <c r="K16" s="8" t="b">
        <v>1</v>
      </c>
      <c r="L16" s="6"/>
      <c r="M16" s="8" t="s">
        <v>388</v>
      </c>
    </row>
    <row r="17">
      <c r="A17" s="20">
        <v>46128.03295028935</v>
      </c>
      <c r="B17" s="8" t="s">
        <v>340</v>
      </c>
      <c r="C17" s="8" t="s">
        <v>17</v>
      </c>
      <c r="D17" s="8" t="s">
        <v>387</v>
      </c>
      <c r="E17" s="8" t="s">
        <v>387</v>
      </c>
      <c r="F17" s="8" t="s">
        <v>387</v>
      </c>
      <c r="G17" s="8" t="s">
        <v>131</v>
      </c>
      <c r="H17" s="8" t="s">
        <v>132</v>
      </c>
      <c r="I17" s="8" t="s">
        <v>133</v>
      </c>
      <c r="J17" s="21">
        <v>3.0</v>
      </c>
      <c r="K17" s="8" t="b">
        <v>1</v>
      </c>
      <c r="L17" s="6"/>
      <c r="M17" s="8" t="s">
        <v>388</v>
      </c>
    </row>
    <row r="18">
      <c r="A18" s="20">
        <v>46128.03295028935</v>
      </c>
      <c r="B18" s="8" t="s">
        <v>340</v>
      </c>
      <c r="C18" s="8" t="s">
        <v>17</v>
      </c>
      <c r="D18" s="8" t="s">
        <v>387</v>
      </c>
      <c r="E18" s="8" t="s">
        <v>387</v>
      </c>
      <c r="F18" s="8" t="s">
        <v>387</v>
      </c>
      <c r="G18" s="8" t="s">
        <v>134</v>
      </c>
      <c r="H18" s="8" t="s">
        <v>135</v>
      </c>
      <c r="I18" s="8" t="s">
        <v>136</v>
      </c>
      <c r="J18" s="21">
        <v>3.0</v>
      </c>
      <c r="K18" s="8" t="b">
        <v>1</v>
      </c>
      <c r="L18" s="6"/>
      <c r="M18" s="8" t="s">
        <v>388</v>
      </c>
    </row>
    <row r="19">
      <c r="A19" s="20">
        <v>46128.03295028935</v>
      </c>
      <c r="B19" s="8" t="s">
        <v>340</v>
      </c>
      <c r="C19" s="8" t="s">
        <v>17</v>
      </c>
      <c r="D19" s="8" t="s">
        <v>387</v>
      </c>
      <c r="E19" s="8" t="s">
        <v>387</v>
      </c>
      <c r="F19" s="8" t="s">
        <v>387</v>
      </c>
      <c r="G19" s="8" t="s">
        <v>140</v>
      </c>
      <c r="H19" s="8" t="s">
        <v>141</v>
      </c>
      <c r="I19" s="8" t="s">
        <v>142</v>
      </c>
      <c r="J19" s="21">
        <v>4.0</v>
      </c>
      <c r="K19" s="8" t="b">
        <v>1</v>
      </c>
      <c r="L19" s="6"/>
      <c r="M19" s="8" t="s">
        <v>388</v>
      </c>
    </row>
    <row r="20">
      <c r="A20" s="20">
        <v>46128.03295028935</v>
      </c>
      <c r="B20" s="8" t="s">
        <v>340</v>
      </c>
      <c r="C20" s="8" t="s">
        <v>17</v>
      </c>
      <c r="D20" s="8" t="s">
        <v>387</v>
      </c>
      <c r="E20" s="8" t="s">
        <v>387</v>
      </c>
      <c r="F20" s="8" t="s">
        <v>387</v>
      </c>
      <c r="G20" s="8" t="s">
        <v>143</v>
      </c>
      <c r="H20" s="8" t="s">
        <v>144</v>
      </c>
      <c r="I20" s="8" t="s">
        <v>145</v>
      </c>
      <c r="J20" s="21">
        <v>4.0</v>
      </c>
      <c r="K20" s="8" t="b">
        <v>1</v>
      </c>
      <c r="L20" s="6"/>
      <c r="M20" s="8" t="s">
        <v>388</v>
      </c>
    </row>
    <row r="21" ht="15.75" customHeight="1">
      <c r="A21" s="20">
        <v>46128.03295028935</v>
      </c>
      <c r="B21" s="8" t="s">
        <v>340</v>
      </c>
      <c r="C21" s="8" t="s">
        <v>17</v>
      </c>
      <c r="D21" s="8" t="s">
        <v>387</v>
      </c>
      <c r="E21" s="8" t="s">
        <v>387</v>
      </c>
      <c r="F21" s="8" t="s">
        <v>387</v>
      </c>
      <c r="G21" s="8" t="s">
        <v>149</v>
      </c>
      <c r="H21" s="8" t="s">
        <v>150</v>
      </c>
      <c r="I21" s="8" t="s">
        <v>151</v>
      </c>
      <c r="J21" s="21">
        <v>4.0</v>
      </c>
      <c r="K21" s="8" t="b">
        <v>1</v>
      </c>
      <c r="L21" s="6"/>
      <c r="M21" s="8" t="s">
        <v>388</v>
      </c>
    </row>
    <row r="22" ht="15.75" customHeight="1">
      <c r="A22" s="20">
        <v>46128.03295028935</v>
      </c>
      <c r="B22" s="8" t="s">
        <v>340</v>
      </c>
      <c r="C22" s="8" t="s">
        <v>17</v>
      </c>
      <c r="D22" s="8" t="s">
        <v>387</v>
      </c>
      <c r="E22" s="8" t="s">
        <v>387</v>
      </c>
      <c r="F22" s="8" t="s">
        <v>387</v>
      </c>
      <c r="G22" s="8" t="s">
        <v>152</v>
      </c>
      <c r="H22" s="8" t="s">
        <v>153</v>
      </c>
      <c r="I22" s="8" t="s">
        <v>154</v>
      </c>
      <c r="J22" s="21">
        <v>4.0</v>
      </c>
      <c r="K22" s="8" t="b">
        <v>1</v>
      </c>
      <c r="L22" s="6"/>
      <c r="M22" s="8" t="s">
        <v>388</v>
      </c>
    </row>
    <row r="23" ht="15.75" customHeight="1">
      <c r="A23" s="20">
        <v>46128.03295028935</v>
      </c>
      <c r="B23" s="8" t="s">
        <v>340</v>
      </c>
      <c r="C23" s="8" t="s">
        <v>17</v>
      </c>
      <c r="D23" s="8" t="s">
        <v>387</v>
      </c>
      <c r="E23" s="8" t="s">
        <v>387</v>
      </c>
      <c r="F23" s="8" t="s">
        <v>387</v>
      </c>
      <c r="G23" s="8" t="s">
        <v>155</v>
      </c>
      <c r="H23" s="8" t="s">
        <v>156</v>
      </c>
      <c r="I23" s="8" t="s">
        <v>157</v>
      </c>
      <c r="J23" s="21">
        <v>4.0</v>
      </c>
      <c r="K23" s="8" t="b">
        <v>1</v>
      </c>
      <c r="L23" s="6"/>
      <c r="M23" s="8" t="s">
        <v>388</v>
      </c>
    </row>
    <row r="24" ht="15.75" customHeight="1">
      <c r="A24" s="20">
        <v>46128.03295028935</v>
      </c>
      <c r="B24" s="8" t="s">
        <v>340</v>
      </c>
      <c r="C24" s="8" t="s">
        <v>17</v>
      </c>
      <c r="D24" s="8" t="s">
        <v>387</v>
      </c>
      <c r="E24" s="8" t="s">
        <v>387</v>
      </c>
      <c r="F24" s="8" t="s">
        <v>387</v>
      </c>
      <c r="G24" s="8" t="s">
        <v>161</v>
      </c>
      <c r="H24" s="8" t="s">
        <v>162</v>
      </c>
      <c r="I24" s="8" t="s">
        <v>163</v>
      </c>
      <c r="J24" s="21">
        <v>4.0</v>
      </c>
      <c r="K24" s="8" t="b">
        <v>1</v>
      </c>
      <c r="L24" s="6"/>
      <c r="M24" s="8" t="s">
        <v>388</v>
      </c>
    </row>
    <row r="25" ht="15.75" customHeight="1">
      <c r="A25" s="20">
        <v>46128.03295028935</v>
      </c>
      <c r="B25" s="8" t="s">
        <v>340</v>
      </c>
      <c r="C25" s="8" t="s">
        <v>17</v>
      </c>
      <c r="D25" s="8" t="s">
        <v>387</v>
      </c>
      <c r="E25" s="8" t="s">
        <v>387</v>
      </c>
      <c r="F25" s="8" t="s">
        <v>387</v>
      </c>
      <c r="G25" s="8" t="s">
        <v>164</v>
      </c>
      <c r="H25" s="8" t="s">
        <v>165</v>
      </c>
      <c r="I25" s="8" t="s">
        <v>166</v>
      </c>
      <c r="J25" s="21">
        <v>4.0</v>
      </c>
      <c r="K25" s="8" t="b">
        <v>1</v>
      </c>
      <c r="L25" s="6"/>
      <c r="M25" s="8" t="s">
        <v>388</v>
      </c>
    </row>
    <row r="26" ht="15.75" customHeight="1">
      <c r="A26" s="20">
        <v>46128.03295028935</v>
      </c>
      <c r="B26" s="8" t="s">
        <v>340</v>
      </c>
      <c r="C26" s="8" t="s">
        <v>17</v>
      </c>
      <c r="D26" s="8" t="s">
        <v>387</v>
      </c>
      <c r="E26" s="8" t="s">
        <v>387</v>
      </c>
      <c r="F26" s="8" t="s">
        <v>387</v>
      </c>
      <c r="G26" s="8" t="s">
        <v>167</v>
      </c>
      <c r="H26" s="8" t="s">
        <v>168</v>
      </c>
      <c r="I26" s="8" t="s">
        <v>169</v>
      </c>
      <c r="J26" s="21">
        <v>3.0</v>
      </c>
      <c r="K26" s="8" t="b">
        <v>1</v>
      </c>
      <c r="L26" s="6"/>
      <c r="M26" s="8" t="s">
        <v>388</v>
      </c>
    </row>
    <row r="27" ht="15.75" customHeight="1">
      <c r="A27" s="20">
        <v>46128.03295028935</v>
      </c>
      <c r="B27" s="8" t="s">
        <v>340</v>
      </c>
      <c r="C27" s="8" t="s">
        <v>17</v>
      </c>
      <c r="D27" s="8" t="s">
        <v>387</v>
      </c>
      <c r="E27" s="8" t="s">
        <v>387</v>
      </c>
      <c r="F27" s="8" t="s">
        <v>387</v>
      </c>
      <c r="G27" s="8" t="s">
        <v>173</v>
      </c>
      <c r="H27" s="8" t="s">
        <v>174</v>
      </c>
      <c r="I27" s="8" t="s">
        <v>175</v>
      </c>
      <c r="J27" s="21">
        <v>4.0</v>
      </c>
      <c r="K27" s="8" t="b">
        <v>1</v>
      </c>
      <c r="L27" s="6"/>
      <c r="M27" s="8" t="s">
        <v>388</v>
      </c>
    </row>
    <row r="28" ht="15.75" customHeight="1">
      <c r="A28" s="20">
        <v>46128.03295028935</v>
      </c>
      <c r="B28" s="8" t="s">
        <v>340</v>
      </c>
      <c r="C28" s="8" t="s">
        <v>17</v>
      </c>
      <c r="D28" s="8" t="s">
        <v>387</v>
      </c>
      <c r="E28" s="8" t="s">
        <v>387</v>
      </c>
      <c r="F28" s="8" t="s">
        <v>387</v>
      </c>
      <c r="G28" s="8" t="s">
        <v>176</v>
      </c>
      <c r="H28" s="8" t="s">
        <v>177</v>
      </c>
      <c r="I28" s="8" t="s">
        <v>178</v>
      </c>
      <c r="J28" s="21">
        <v>4.0</v>
      </c>
      <c r="K28" s="8" t="b">
        <v>1</v>
      </c>
      <c r="L28" s="6"/>
      <c r="M28" s="8" t="s">
        <v>388</v>
      </c>
    </row>
    <row r="29" ht="15.75" customHeight="1">
      <c r="A29" s="20">
        <v>46128.03295028935</v>
      </c>
      <c r="B29" s="8" t="s">
        <v>340</v>
      </c>
      <c r="C29" s="8" t="s">
        <v>17</v>
      </c>
      <c r="D29" s="8" t="s">
        <v>387</v>
      </c>
      <c r="E29" s="8" t="s">
        <v>387</v>
      </c>
      <c r="F29" s="8" t="s">
        <v>387</v>
      </c>
      <c r="G29" s="8" t="s">
        <v>212</v>
      </c>
      <c r="H29" s="8" t="s">
        <v>213</v>
      </c>
      <c r="I29" s="8" t="s">
        <v>214</v>
      </c>
      <c r="J29" s="21">
        <v>3.0</v>
      </c>
      <c r="K29" s="8" t="b">
        <v>1</v>
      </c>
      <c r="L29" s="6"/>
      <c r="M29" s="8" t="s">
        <v>388</v>
      </c>
    </row>
    <row r="30" ht="15.75" customHeight="1">
      <c r="A30" s="20">
        <v>46128.03295028935</v>
      </c>
      <c r="B30" s="8" t="s">
        <v>340</v>
      </c>
      <c r="C30" s="8" t="s">
        <v>17</v>
      </c>
      <c r="D30" s="8" t="s">
        <v>387</v>
      </c>
      <c r="E30" s="8" t="s">
        <v>387</v>
      </c>
      <c r="F30" s="8" t="s">
        <v>387</v>
      </c>
      <c r="G30" s="8" t="s">
        <v>215</v>
      </c>
      <c r="H30" s="8" t="s">
        <v>216</v>
      </c>
      <c r="I30" s="8" t="s">
        <v>217</v>
      </c>
      <c r="J30" s="21">
        <v>3.0</v>
      </c>
      <c r="K30" s="8" t="b">
        <v>1</v>
      </c>
      <c r="L30" s="6"/>
      <c r="M30" s="8" t="s">
        <v>388</v>
      </c>
    </row>
    <row r="31" ht="15.75" customHeight="1">
      <c r="A31" s="20">
        <v>46128.03295028935</v>
      </c>
      <c r="B31" s="8" t="s">
        <v>340</v>
      </c>
      <c r="C31" s="8" t="s">
        <v>17</v>
      </c>
      <c r="D31" s="8" t="s">
        <v>387</v>
      </c>
      <c r="E31" s="8" t="s">
        <v>387</v>
      </c>
      <c r="F31" s="8" t="s">
        <v>387</v>
      </c>
      <c r="G31" s="8" t="s">
        <v>227</v>
      </c>
      <c r="H31" s="8" t="s">
        <v>228</v>
      </c>
      <c r="I31" s="8" t="s">
        <v>229</v>
      </c>
      <c r="J31" s="21">
        <v>4.0</v>
      </c>
      <c r="K31" s="8" t="b">
        <v>1</v>
      </c>
      <c r="L31" s="6"/>
      <c r="M31" s="8" t="s">
        <v>388</v>
      </c>
    </row>
    <row r="32" ht="15.75" customHeight="1">
      <c r="A32" s="20">
        <v>46128.03295028935</v>
      </c>
      <c r="B32" s="8" t="s">
        <v>340</v>
      </c>
      <c r="C32" s="8" t="s">
        <v>17</v>
      </c>
      <c r="D32" s="8" t="s">
        <v>387</v>
      </c>
      <c r="E32" s="8" t="s">
        <v>387</v>
      </c>
      <c r="F32" s="8" t="s">
        <v>387</v>
      </c>
      <c r="G32" s="8" t="s">
        <v>230</v>
      </c>
      <c r="H32" s="8" t="s">
        <v>231</v>
      </c>
      <c r="I32" s="8" t="s">
        <v>232</v>
      </c>
      <c r="J32" s="21">
        <v>4.0</v>
      </c>
      <c r="K32" s="8" t="b">
        <v>1</v>
      </c>
      <c r="L32" s="6"/>
      <c r="M32" s="8" t="s">
        <v>388</v>
      </c>
    </row>
    <row r="33" ht="15.75" customHeight="1">
      <c r="A33" s="20">
        <v>46128.03295028935</v>
      </c>
      <c r="B33" s="8" t="s">
        <v>340</v>
      </c>
      <c r="C33" s="8" t="s">
        <v>17</v>
      </c>
      <c r="D33" s="8" t="s">
        <v>387</v>
      </c>
      <c r="E33" s="8" t="s">
        <v>387</v>
      </c>
      <c r="F33" s="8" t="s">
        <v>387</v>
      </c>
      <c r="G33" s="8" t="s">
        <v>236</v>
      </c>
      <c r="H33" s="8" t="s">
        <v>237</v>
      </c>
      <c r="I33" s="8" t="s">
        <v>238</v>
      </c>
      <c r="J33" s="21">
        <v>4.0</v>
      </c>
      <c r="K33" s="8" t="b">
        <v>1</v>
      </c>
      <c r="L33" s="6"/>
      <c r="M33" s="8" t="s">
        <v>388</v>
      </c>
    </row>
    <row r="34" ht="15.75" customHeight="1">
      <c r="A34" s="20">
        <v>46128.03295028935</v>
      </c>
      <c r="B34" s="8" t="s">
        <v>340</v>
      </c>
      <c r="C34" s="8" t="s">
        <v>17</v>
      </c>
      <c r="D34" s="8" t="s">
        <v>387</v>
      </c>
      <c r="E34" s="8" t="s">
        <v>387</v>
      </c>
      <c r="F34" s="8" t="s">
        <v>387</v>
      </c>
      <c r="G34" s="8" t="s">
        <v>239</v>
      </c>
      <c r="H34" s="8" t="s">
        <v>240</v>
      </c>
      <c r="I34" s="8" t="s">
        <v>241</v>
      </c>
      <c r="J34" s="21">
        <v>4.0</v>
      </c>
      <c r="K34" s="8" t="b">
        <v>1</v>
      </c>
      <c r="L34" s="6"/>
      <c r="M34" s="8" t="s">
        <v>388</v>
      </c>
    </row>
    <row r="35" ht="15.75" customHeight="1">
      <c r="A35" s="20">
        <v>46128.03295028935</v>
      </c>
      <c r="B35" s="8" t="s">
        <v>340</v>
      </c>
      <c r="C35" s="8" t="s">
        <v>17</v>
      </c>
      <c r="D35" s="8" t="s">
        <v>387</v>
      </c>
      <c r="E35" s="8" t="s">
        <v>387</v>
      </c>
      <c r="F35" s="8" t="s">
        <v>387</v>
      </c>
      <c r="G35" s="8" t="s">
        <v>242</v>
      </c>
      <c r="H35" s="8" t="s">
        <v>243</v>
      </c>
      <c r="I35" s="8" t="s">
        <v>244</v>
      </c>
      <c r="J35" s="21">
        <v>4.0</v>
      </c>
      <c r="K35" s="8" t="b">
        <v>1</v>
      </c>
      <c r="L35" s="6"/>
      <c r="M35" s="8" t="s">
        <v>388</v>
      </c>
    </row>
    <row r="36" ht="15.75" customHeight="1">
      <c r="A36" s="20">
        <v>46128.03295028935</v>
      </c>
      <c r="B36" s="8" t="s">
        <v>340</v>
      </c>
      <c r="C36" s="8" t="s">
        <v>17</v>
      </c>
      <c r="D36" s="8" t="s">
        <v>387</v>
      </c>
      <c r="E36" s="8" t="s">
        <v>387</v>
      </c>
      <c r="F36" s="8" t="s">
        <v>387</v>
      </c>
      <c r="G36" s="8" t="s">
        <v>248</v>
      </c>
      <c r="H36" s="8" t="s">
        <v>249</v>
      </c>
      <c r="I36" s="8" t="s">
        <v>250</v>
      </c>
      <c r="J36" s="21">
        <v>4.0</v>
      </c>
      <c r="K36" s="8" t="b">
        <v>1</v>
      </c>
      <c r="L36" s="6"/>
      <c r="M36" s="8" t="s">
        <v>388</v>
      </c>
    </row>
    <row r="37" ht="15.75" customHeight="1">
      <c r="A37" s="20">
        <v>46128.03295028935</v>
      </c>
      <c r="B37" s="8" t="s">
        <v>340</v>
      </c>
      <c r="C37" s="8" t="s">
        <v>17</v>
      </c>
      <c r="D37" s="8" t="s">
        <v>387</v>
      </c>
      <c r="E37" s="8" t="s">
        <v>387</v>
      </c>
      <c r="F37" s="8" t="s">
        <v>387</v>
      </c>
      <c r="G37" s="8" t="s">
        <v>251</v>
      </c>
      <c r="H37" s="8" t="s">
        <v>252</v>
      </c>
      <c r="I37" s="8" t="s">
        <v>253</v>
      </c>
      <c r="J37" s="21">
        <v>4.0</v>
      </c>
      <c r="K37" s="8" t="b">
        <v>1</v>
      </c>
      <c r="L37" s="6"/>
      <c r="M37" s="8" t="s">
        <v>388</v>
      </c>
    </row>
    <row r="38" ht="15.75" customHeight="1">
      <c r="A38" s="20">
        <v>46128.03295028935</v>
      </c>
      <c r="B38" s="8" t="s">
        <v>340</v>
      </c>
      <c r="C38" s="8" t="s">
        <v>17</v>
      </c>
      <c r="D38" s="8" t="s">
        <v>387</v>
      </c>
      <c r="E38" s="8" t="s">
        <v>387</v>
      </c>
      <c r="F38" s="8" t="s">
        <v>387</v>
      </c>
      <c r="G38" s="8" t="s">
        <v>254</v>
      </c>
      <c r="H38" s="8" t="s">
        <v>255</v>
      </c>
      <c r="I38" s="8" t="s">
        <v>256</v>
      </c>
      <c r="J38" s="21">
        <v>4.0</v>
      </c>
      <c r="K38" s="8" t="b">
        <v>1</v>
      </c>
      <c r="L38" s="6"/>
      <c r="M38" s="8" t="s">
        <v>388</v>
      </c>
    </row>
    <row r="39" ht="15.75" customHeight="1">
      <c r="A39" s="20">
        <v>46128.03295028935</v>
      </c>
      <c r="B39" s="8" t="s">
        <v>340</v>
      </c>
      <c r="C39" s="8" t="s">
        <v>17</v>
      </c>
      <c r="D39" s="8" t="s">
        <v>387</v>
      </c>
      <c r="E39" s="8" t="s">
        <v>387</v>
      </c>
      <c r="F39" s="8" t="s">
        <v>387</v>
      </c>
      <c r="G39" s="8" t="s">
        <v>260</v>
      </c>
      <c r="H39" s="8" t="s">
        <v>261</v>
      </c>
      <c r="I39" s="8" t="s">
        <v>262</v>
      </c>
      <c r="J39" s="21">
        <v>3.0</v>
      </c>
      <c r="K39" s="8" t="b">
        <v>1</v>
      </c>
      <c r="L39" s="6"/>
      <c r="M39" s="8" t="s">
        <v>388</v>
      </c>
    </row>
    <row r="40" ht="15.75" customHeight="1">
      <c r="A40" s="20">
        <v>46128.03295028935</v>
      </c>
      <c r="B40" s="8" t="s">
        <v>340</v>
      </c>
      <c r="C40" s="8" t="s">
        <v>17</v>
      </c>
      <c r="D40" s="8" t="s">
        <v>387</v>
      </c>
      <c r="E40" s="8" t="s">
        <v>387</v>
      </c>
      <c r="F40" s="8" t="s">
        <v>387</v>
      </c>
      <c r="G40" s="8" t="s">
        <v>263</v>
      </c>
      <c r="H40" s="8" t="s">
        <v>264</v>
      </c>
      <c r="I40" s="8" t="s">
        <v>265</v>
      </c>
      <c r="J40" s="21">
        <v>3.0</v>
      </c>
      <c r="K40" s="8" t="b">
        <v>1</v>
      </c>
      <c r="L40" s="6"/>
      <c r="M40" s="8" t="s">
        <v>388</v>
      </c>
    </row>
    <row r="41" ht="15.75" customHeight="1">
      <c r="A41" s="20">
        <v>46128.03295028935</v>
      </c>
      <c r="B41" s="8" t="s">
        <v>340</v>
      </c>
      <c r="C41" s="8" t="s">
        <v>17</v>
      </c>
      <c r="D41" s="8" t="s">
        <v>387</v>
      </c>
      <c r="E41" s="8" t="s">
        <v>387</v>
      </c>
      <c r="F41" s="8" t="s">
        <v>387</v>
      </c>
      <c r="G41" s="8" t="s">
        <v>266</v>
      </c>
      <c r="H41" s="8" t="s">
        <v>267</v>
      </c>
      <c r="I41" s="8" t="s">
        <v>268</v>
      </c>
      <c r="J41" s="21">
        <v>3.0</v>
      </c>
      <c r="K41" s="8" t="b">
        <v>1</v>
      </c>
      <c r="L41" s="6"/>
      <c r="M41" s="8" t="s">
        <v>388</v>
      </c>
    </row>
    <row r="42" ht="15.75" customHeight="1">
      <c r="A42" s="20">
        <v>46128.03295028935</v>
      </c>
      <c r="B42" s="8" t="s">
        <v>340</v>
      </c>
      <c r="C42" s="8" t="s">
        <v>17</v>
      </c>
      <c r="D42" s="8" t="s">
        <v>387</v>
      </c>
      <c r="E42" s="8" t="s">
        <v>387</v>
      </c>
      <c r="F42" s="8" t="s">
        <v>387</v>
      </c>
      <c r="G42" s="8" t="s">
        <v>269</v>
      </c>
      <c r="H42" s="8" t="s">
        <v>270</v>
      </c>
      <c r="I42" s="8" t="s">
        <v>271</v>
      </c>
      <c r="J42" s="21">
        <v>3.0</v>
      </c>
      <c r="K42" s="8" t="b">
        <v>1</v>
      </c>
      <c r="L42" s="6"/>
      <c r="M42" s="8" t="s">
        <v>388</v>
      </c>
    </row>
    <row r="43" ht="15.75" customHeight="1">
      <c r="A43" s="20">
        <v>46128.03295028935</v>
      </c>
      <c r="B43" s="8" t="s">
        <v>340</v>
      </c>
      <c r="C43" s="8" t="s">
        <v>17</v>
      </c>
      <c r="D43" s="8" t="s">
        <v>387</v>
      </c>
      <c r="E43" s="8" t="s">
        <v>387</v>
      </c>
      <c r="F43" s="8" t="s">
        <v>387</v>
      </c>
      <c r="G43" s="8" t="s">
        <v>272</v>
      </c>
      <c r="H43" s="8" t="s">
        <v>273</v>
      </c>
      <c r="I43" s="8" t="s">
        <v>274</v>
      </c>
      <c r="J43" s="21">
        <v>3.0</v>
      </c>
      <c r="K43" s="8" t="b">
        <v>1</v>
      </c>
      <c r="L43" s="6"/>
      <c r="M43" s="8" t="s">
        <v>388</v>
      </c>
    </row>
    <row r="44" ht="15.75" customHeight="1">
      <c r="A44" s="20">
        <v>46128.03295028935</v>
      </c>
      <c r="B44" s="8" t="s">
        <v>340</v>
      </c>
      <c r="C44" s="8" t="s">
        <v>17</v>
      </c>
      <c r="D44" s="8" t="s">
        <v>387</v>
      </c>
      <c r="E44" s="8" t="s">
        <v>387</v>
      </c>
      <c r="F44" s="8" t="s">
        <v>387</v>
      </c>
      <c r="G44" s="8" t="s">
        <v>275</v>
      </c>
      <c r="H44" s="8" t="s">
        <v>276</v>
      </c>
      <c r="I44" s="8" t="s">
        <v>277</v>
      </c>
      <c r="J44" s="21">
        <v>3.0</v>
      </c>
      <c r="K44" s="8" t="b">
        <v>1</v>
      </c>
      <c r="L44" s="6"/>
      <c r="M44" s="8" t="s">
        <v>388</v>
      </c>
    </row>
    <row r="45" ht="15.75" customHeight="1">
      <c r="A45" s="20">
        <v>46128.03295028935</v>
      </c>
      <c r="B45" s="8" t="s">
        <v>340</v>
      </c>
      <c r="C45" s="8" t="s">
        <v>17</v>
      </c>
      <c r="D45" s="8" t="s">
        <v>387</v>
      </c>
      <c r="E45" s="8" t="s">
        <v>387</v>
      </c>
      <c r="F45" s="8" t="s">
        <v>387</v>
      </c>
      <c r="G45" s="8" t="s">
        <v>278</v>
      </c>
      <c r="H45" s="8" t="s">
        <v>279</v>
      </c>
      <c r="I45" s="8" t="s">
        <v>280</v>
      </c>
      <c r="J45" s="21">
        <v>3.0</v>
      </c>
      <c r="K45" s="8" t="b">
        <v>1</v>
      </c>
      <c r="L45" s="6"/>
      <c r="M45" s="8" t="s">
        <v>388</v>
      </c>
    </row>
    <row r="46" ht="15.75" customHeight="1">
      <c r="A46" s="20">
        <v>46128.03295028935</v>
      </c>
      <c r="B46" s="8" t="s">
        <v>340</v>
      </c>
      <c r="C46" s="8" t="s">
        <v>17</v>
      </c>
      <c r="D46" s="8" t="s">
        <v>387</v>
      </c>
      <c r="E46" s="8" t="s">
        <v>387</v>
      </c>
      <c r="F46" s="8" t="s">
        <v>387</v>
      </c>
      <c r="G46" s="8" t="s">
        <v>281</v>
      </c>
      <c r="H46" s="8" t="s">
        <v>282</v>
      </c>
      <c r="I46" s="8" t="s">
        <v>283</v>
      </c>
      <c r="J46" s="21">
        <v>3.0</v>
      </c>
      <c r="K46" s="8" t="b">
        <v>1</v>
      </c>
      <c r="L46" s="6"/>
      <c r="M46" s="8" t="s">
        <v>388</v>
      </c>
    </row>
    <row r="47" ht="15.75" customHeight="1">
      <c r="A47" s="20">
        <v>46128.03295028935</v>
      </c>
      <c r="B47" s="8" t="s">
        <v>340</v>
      </c>
      <c r="C47" s="8" t="s">
        <v>17</v>
      </c>
      <c r="D47" s="8" t="s">
        <v>387</v>
      </c>
      <c r="E47" s="8" t="s">
        <v>387</v>
      </c>
      <c r="F47" s="8" t="s">
        <v>387</v>
      </c>
      <c r="G47" s="8" t="s">
        <v>290</v>
      </c>
      <c r="H47" s="8" t="s">
        <v>291</v>
      </c>
      <c r="I47" s="8" t="s">
        <v>292</v>
      </c>
      <c r="J47" s="21">
        <v>3.0</v>
      </c>
      <c r="K47" s="8" t="b">
        <v>1</v>
      </c>
      <c r="L47" s="6"/>
      <c r="M47" s="8" t="s">
        <v>388</v>
      </c>
    </row>
    <row r="48" ht="15.75" customHeight="1">
      <c r="A48" s="20">
        <v>46128.03295028935</v>
      </c>
      <c r="B48" s="8" t="s">
        <v>340</v>
      </c>
      <c r="C48" s="8" t="s">
        <v>17</v>
      </c>
      <c r="D48" s="8" t="s">
        <v>387</v>
      </c>
      <c r="E48" s="8" t="s">
        <v>387</v>
      </c>
      <c r="F48" s="8" t="s">
        <v>387</v>
      </c>
      <c r="G48" s="8" t="s">
        <v>293</v>
      </c>
      <c r="H48" s="8" t="s">
        <v>294</v>
      </c>
      <c r="I48" s="8" t="s">
        <v>295</v>
      </c>
      <c r="J48" s="21">
        <v>3.0</v>
      </c>
      <c r="K48" s="8" t="b">
        <v>1</v>
      </c>
      <c r="L48" s="6"/>
      <c r="M48" s="8" t="s">
        <v>388</v>
      </c>
    </row>
    <row r="49" ht="15.75" customHeight="1">
      <c r="A49" s="20">
        <v>46128.03295028935</v>
      </c>
      <c r="B49" s="8" t="s">
        <v>340</v>
      </c>
      <c r="C49" s="8" t="s">
        <v>17</v>
      </c>
      <c r="D49" s="8" t="s">
        <v>387</v>
      </c>
      <c r="E49" s="8" t="s">
        <v>387</v>
      </c>
      <c r="F49" s="8" t="s">
        <v>387</v>
      </c>
      <c r="G49" s="8" t="s">
        <v>299</v>
      </c>
      <c r="H49" s="8" t="s">
        <v>300</v>
      </c>
      <c r="I49" s="8" t="s">
        <v>301</v>
      </c>
      <c r="J49" s="21">
        <v>3.0</v>
      </c>
      <c r="K49" s="8" t="b">
        <v>1</v>
      </c>
      <c r="L49" s="6"/>
      <c r="M49" s="8" t="s">
        <v>388</v>
      </c>
    </row>
    <row r="50" ht="15.75" customHeight="1">
      <c r="A50" s="20">
        <v>46128.03295028935</v>
      </c>
      <c r="B50" s="8" t="s">
        <v>340</v>
      </c>
      <c r="C50" s="8" t="s">
        <v>17</v>
      </c>
      <c r="D50" s="8" t="s">
        <v>387</v>
      </c>
      <c r="E50" s="8" t="s">
        <v>387</v>
      </c>
      <c r="F50" s="8" t="s">
        <v>387</v>
      </c>
      <c r="G50" s="8" t="s">
        <v>302</v>
      </c>
      <c r="H50" s="8" t="s">
        <v>303</v>
      </c>
      <c r="I50" s="8" t="s">
        <v>304</v>
      </c>
      <c r="J50" s="21">
        <v>3.0</v>
      </c>
      <c r="K50" s="8" t="b">
        <v>1</v>
      </c>
      <c r="L50" s="6"/>
      <c r="M50" s="8" t="s">
        <v>388</v>
      </c>
    </row>
    <row r="51" ht="15.75" customHeight="1">
      <c r="A51" s="20">
        <v>46128.03295028935</v>
      </c>
      <c r="B51" s="8" t="s">
        <v>340</v>
      </c>
      <c r="C51" s="8" t="s">
        <v>17</v>
      </c>
      <c r="D51" s="8" t="s">
        <v>387</v>
      </c>
      <c r="E51" s="8" t="s">
        <v>387</v>
      </c>
      <c r="F51" s="8" t="s">
        <v>387</v>
      </c>
      <c r="G51" s="8" t="s">
        <v>308</v>
      </c>
      <c r="H51" s="8" t="s">
        <v>309</v>
      </c>
      <c r="I51" s="8" t="s">
        <v>310</v>
      </c>
      <c r="J51" s="21">
        <v>2.0</v>
      </c>
      <c r="K51" s="8" t="b">
        <v>1</v>
      </c>
      <c r="L51" s="6"/>
      <c r="M51" s="8" t="s">
        <v>388</v>
      </c>
    </row>
    <row r="52" ht="15.75" customHeight="1">
      <c r="A52" s="20">
        <v>46128.03295028935</v>
      </c>
      <c r="B52" s="8" t="s">
        <v>340</v>
      </c>
      <c r="C52" s="8" t="s">
        <v>17</v>
      </c>
      <c r="D52" s="8" t="s">
        <v>387</v>
      </c>
      <c r="E52" s="8" t="s">
        <v>387</v>
      </c>
      <c r="F52" s="8" t="s">
        <v>387</v>
      </c>
      <c r="G52" s="8" t="s">
        <v>311</v>
      </c>
      <c r="H52" s="8" t="s">
        <v>312</v>
      </c>
      <c r="I52" s="8" t="s">
        <v>313</v>
      </c>
      <c r="J52" s="21">
        <v>2.0</v>
      </c>
      <c r="K52" s="8" t="b">
        <v>1</v>
      </c>
      <c r="L52" s="6"/>
      <c r="M52" s="8" t="s">
        <v>388</v>
      </c>
    </row>
    <row r="53" ht="15.75" customHeight="1">
      <c r="A53" s="20">
        <v>46128.03295028935</v>
      </c>
      <c r="B53" s="8" t="s">
        <v>340</v>
      </c>
      <c r="C53" s="8" t="s">
        <v>17</v>
      </c>
      <c r="D53" s="8" t="s">
        <v>387</v>
      </c>
      <c r="E53" s="8" t="s">
        <v>387</v>
      </c>
      <c r="F53" s="8" t="s">
        <v>387</v>
      </c>
      <c r="G53" s="8" t="s">
        <v>314</v>
      </c>
      <c r="H53" s="8" t="s">
        <v>315</v>
      </c>
      <c r="I53" s="8" t="s">
        <v>316</v>
      </c>
      <c r="J53" s="21">
        <v>2.0</v>
      </c>
      <c r="K53" s="8" t="b">
        <v>1</v>
      </c>
      <c r="L53" s="6"/>
      <c r="M53" s="8" t="s">
        <v>388</v>
      </c>
    </row>
    <row r="54" ht="15.75" customHeight="1">
      <c r="A54" s="6"/>
      <c r="B54" s="6"/>
      <c r="C54" s="6"/>
      <c r="D54" s="6"/>
      <c r="E54" s="6"/>
      <c r="F54" s="6"/>
      <c r="G54" s="6"/>
      <c r="H54" s="6"/>
      <c r="I54" s="6"/>
      <c r="J54" s="6"/>
      <c r="K54" s="6"/>
      <c r="L54" s="6"/>
      <c r="M54" s="6"/>
    </row>
    <row r="55" ht="15.75" customHeight="1">
      <c r="A55" s="6"/>
      <c r="B55" s="6"/>
      <c r="C55" s="6"/>
      <c r="D55" s="6"/>
      <c r="E55" s="6"/>
      <c r="F55" s="6"/>
      <c r="G55" s="6"/>
      <c r="H55" s="6"/>
      <c r="I55" s="6"/>
      <c r="J55" s="6"/>
      <c r="K55" s="6"/>
      <c r="L55" s="6"/>
      <c r="M55" s="6"/>
    </row>
    <row r="56" ht="15.75" customHeight="1">
      <c r="A56" s="6"/>
      <c r="B56" s="6"/>
      <c r="C56" s="6"/>
      <c r="D56" s="6"/>
      <c r="E56" s="6"/>
      <c r="F56" s="6"/>
      <c r="G56" s="6"/>
      <c r="H56" s="6"/>
      <c r="I56" s="6"/>
      <c r="J56" s="6"/>
      <c r="K56" s="6"/>
      <c r="L56" s="6"/>
      <c r="M56" s="6"/>
    </row>
    <row r="57" ht="15.75" customHeight="1">
      <c r="A57" s="6"/>
      <c r="B57" s="6"/>
      <c r="C57" s="6"/>
      <c r="D57" s="6"/>
      <c r="E57" s="6"/>
      <c r="F57" s="6"/>
      <c r="G57" s="6"/>
      <c r="H57" s="6"/>
      <c r="I57" s="6"/>
      <c r="J57" s="6"/>
      <c r="K57" s="6"/>
      <c r="L57" s="6"/>
      <c r="M57" s="6"/>
    </row>
    <row r="58" ht="15.75" customHeight="1">
      <c r="A58" s="6"/>
      <c r="B58" s="6"/>
      <c r="C58" s="6"/>
      <c r="D58" s="6"/>
      <c r="E58" s="6"/>
      <c r="F58" s="6"/>
      <c r="G58" s="6"/>
      <c r="H58" s="6"/>
      <c r="I58" s="6"/>
      <c r="J58" s="6"/>
      <c r="K58" s="6"/>
      <c r="L58" s="6"/>
      <c r="M58" s="6"/>
    </row>
    <row r="59" ht="15.75" customHeight="1">
      <c r="A59" s="6"/>
      <c r="B59" s="6"/>
      <c r="C59" s="6"/>
      <c r="D59" s="6"/>
      <c r="E59" s="6"/>
      <c r="F59" s="6"/>
      <c r="G59" s="6"/>
      <c r="H59" s="6"/>
      <c r="I59" s="6"/>
      <c r="J59" s="6"/>
      <c r="K59" s="6"/>
      <c r="L59" s="6"/>
      <c r="M59" s="6"/>
    </row>
    <row r="60" ht="15.75" customHeight="1">
      <c r="A60" s="6"/>
      <c r="B60" s="6"/>
      <c r="C60" s="6"/>
      <c r="D60" s="6"/>
      <c r="E60" s="6"/>
      <c r="F60" s="6"/>
      <c r="G60" s="6"/>
      <c r="H60" s="6"/>
      <c r="I60" s="6"/>
      <c r="J60" s="6"/>
      <c r="K60" s="6"/>
      <c r="L60" s="6"/>
      <c r="M60" s="6"/>
    </row>
    <row r="61" ht="15.75" customHeight="1">
      <c r="A61" s="6"/>
      <c r="B61" s="6"/>
      <c r="C61" s="6"/>
      <c r="D61" s="6"/>
      <c r="E61" s="6"/>
      <c r="F61" s="6"/>
      <c r="G61" s="6"/>
      <c r="H61" s="6"/>
      <c r="I61" s="6"/>
      <c r="J61" s="6"/>
      <c r="K61" s="6"/>
      <c r="L61" s="6"/>
      <c r="M61" s="6"/>
    </row>
    <row r="62" ht="15.75" customHeight="1">
      <c r="A62" s="6"/>
      <c r="B62" s="6"/>
      <c r="C62" s="6"/>
      <c r="D62" s="6"/>
      <c r="E62" s="6"/>
      <c r="F62" s="6"/>
      <c r="G62" s="6"/>
      <c r="H62" s="6"/>
      <c r="I62" s="6"/>
      <c r="J62" s="6"/>
      <c r="K62" s="6"/>
      <c r="L62" s="6"/>
      <c r="M62" s="6"/>
    </row>
    <row r="63" ht="15.75" customHeight="1">
      <c r="A63" s="6"/>
      <c r="B63" s="6"/>
      <c r="C63" s="6"/>
      <c r="D63" s="6"/>
      <c r="E63" s="6"/>
      <c r="F63" s="6"/>
      <c r="G63" s="6"/>
      <c r="H63" s="6"/>
      <c r="I63" s="6"/>
      <c r="J63" s="6"/>
      <c r="K63" s="6"/>
      <c r="L63" s="6"/>
      <c r="M63" s="6"/>
    </row>
    <row r="64" ht="15.75" customHeight="1">
      <c r="A64" s="6"/>
      <c r="B64" s="6"/>
      <c r="C64" s="6"/>
      <c r="D64" s="6"/>
      <c r="E64" s="6"/>
      <c r="F64" s="6"/>
      <c r="G64" s="6"/>
      <c r="H64" s="6"/>
      <c r="I64" s="6"/>
      <c r="J64" s="6"/>
      <c r="K64" s="6"/>
      <c r="L64" s="6"/>
      <c r="M64" s="6"/>
    </row>
    <row r="65" ht="15.75" customHeight="1">
      <c r="A65" s="6"/>
      <c r="B65" s="6"/>
      <c r="C65" s="6"/>
      <c r="D65" s="6"/>
      <c r="E65" s="6"/>
      <c r="F65" s="6"/>
      <c r="G65" s="6"/>
      <c r="H65" s="6"/>
      <c r="I65" s="6"/>
      <c r="J65" s="6"/>
      <c r="K65" s="6"/>
      <c r="L65" s="6"/>
      <c r="M65" s="6"/>
    </row>
    <row r="66" ht="15.75" customHeight="1">
      <c r="A66" s="6"/>
      <c r="B66" s="6"/>
      <c r="C66" s="6"/>
      <c r="D66" s="6"/>
      <c r="E66" s="6"/>
      <c r="F66" s="6"/>
      <c r="G66" s="6"/>
      <c r="H66" s="6"/>
      <c r="I66" s="6"/>
      <c r="J66" s="6"/>
      <c r="K66" s="6"/>
      <c r="L66" s="6"/>
      <c r="M66" s="6"/>
    </row>
    <row r="67" ht="15.75" customHeight="1">
      <c r="A67" s="6"/>
      <c r="B67" s="6"/>
      <c r="C67" s="6"/>
      <c r="D67" s="6"/>
      <c r="E67" s="6"/>
      <c r="F67" s="6"/>
      <c r="G67" s="6"/>
      <c r="H67" s="6"/>
      <c r="I67" s="6"/>
      <c r="J67" s="6"/>
      <c r="K67" s="6"/>
      <c r="L67" s="6"/>
      <c r="M67" s="6"/>
    </row>
    <row r="68" ht="15.75" customHeight="1">
      <c r="A68" s="6"/>
      <c r="B68" s="6"/>
      <c r="C68" s="6"/>
      <c r="D68" s="6"/>
      <c r="E68" s="6"/>
      <c r="F68" s="6"/>
      <c r="G68" s="6"/>
      <c r="H68" s="6"/>
      <c r="I68" s="6"/>
      <c r="J68" s="6"/>
      <c r="K68" s="6"/>
      <c r="L68" s="6"/>
      <c r="M68" s="6"/>
    </row>
    <row r="69" ht="15.75" customHeight="1">
      <c r="A69" s="6"/>
      <c r="B69" s="6"/>
      <c r="C69" s="6"/>
      <c r="D69" s="6"/>
      <c r="E69" s="6"/>
      <c r="F69" s="6"/>
      <c r="G69" s="6"/>
      <c r="H69" s="6"/>
      <c r="I69" s="6"/>
      <c r="J69" s="6"/>
      <c r="K69" s="6"/>
      <c r="L69" s="6"/>
      <c r="M69" s="6"/>
    </row>
    <row r="70" ht="15.75" customHeight="1">
      <c r="A70" s="6"/>
      <c r="B70" s="6"/>
      <c r="C70" s="6"/>
      <c r="D70" s="6"/>
      <c r="E70" s="6"/>
      <c r="F70" s="6"/>
      <c r="G70" s="6"/>
      <c r="H70" s="6"/>
      <c r="I70" s="6"/>
      <c r="J70" s="6"/>
      <c r="K70" s="6"/>
      <c r="L70" s="6"/>
      <c r="M70" s="6"/>
    </row>
    <row r="71" ht="15.75" customHeight="1">
      <c r="A71" s="6"/>
      <c r="B71" s="6"/>
      <c r="C71" s="6"/>
      <c r="D71" s="6"/>
      <c r="E71" s="6"/>
      <c r="F71" s="6"/>
      <c r="G71" s="6"/>
      <c r="H71" s="6"/>
      <c r="I71" s="6"/>
      <c r="J71" s="6"/>
      <c r="K71" s="6"/>
      <c r="L71" s="6"/>
      <c r="M71" s="6"/>
    </row>
    <row r="72" ht="15.75" customHeight="1">
      <c r="A72" s="6"/>
      <c r="B72" s="6"/>
      <c r="C72" s="6"/>
      <c r="D72" s="6"/>
      <c r="E72" s="6"/>
      <c r="F72" s="6"/>
      <c r="G72" s="6"/>
      <c r="H72" s="6"/>
      <c r="I72" s="6"/>
      <c r="J72" s="6"/>
      <c r="K72" s="6"/>
      <c r="L72" s="6"/>
      <c r="M72" s="6"/>
    </row>
    <row r="73" ht="15.75" customHeight="1">
      <c r="A73" s="6"/>
      <c r="B73" s="6"/>
      <c r="C73" s="6"/>
      <c r="D73" s="6"/>
      <c r="E73" s="6"/>
      <c r="F73" s="6"/>
      <c r="G73" s="6"/>
      <c r="H73" s="6"/>
      <c r="I73" s="6"/>
      <c r="J73" s="6"/>
      <c r="K73" s="6"/>
      <c r="L73" s="6"/>
      <c r="M73" s="6"/>
    </row>
    <row r="74" ht="15.75" customHeight="1">
      <c r="A74" s="6"/>
      <c r="B74" s="6"/>
      <c r="C74" s="6"/>
      <c r="D74" s="6"/>
      <c r="E74" s="6"/>
      <c r="F74" s="6"/>
      <c r="G74" s="6"/>
      <c r="H74" s="6"/>
      <c r="I74" s="6"/>
      <c r="J74" s="6"/>
      <c r="K74" s="6"/>
      <c r="L74" s="6"/>
      <c r="M74" s="6"/>
    </row>
    <row r="75" ht="15.75" customHeight="1">
      <c r="A75" s="6"/>
      <c r="B75" s="6"/>
      <c r="C75" s="6"/>
      <c r="D75" s="6"/>
      <c r="E75" s="6"/>
      <c r="F75" s="6"/>
      <c r="G75" s="6"/>
      <c r="H75" s="6"/>
      <c r="I75" s="6"/>
      <c r="J75" s="6"/>
      <c r="K75" s="6"/>
      <c r="L75" s="6"/>
      <c r="M75" s="6"/>
    </row>
    <row r="76" ht="15.75" customHeight="1">
      <c r="A76" s="6"/>
      <c r="B76" s="6"/>
      <c r="C76" s="6"/>
      <c r="D76" s="6"/>
      <c r="E76" s="6"/>
      <c r="F76" s="6"/>
      <c r="G76" s="6"/>
      <c r="H76" s="6"/>
      <c r="I76" s="6"/>
      <c r="J76" s="6"/>
      <c r="K76" s="6"/>
      <c r="L76" s="6"/>
      <c r="M76" s="6"/>
    </row>
    <row r="77" ht="15.75" customHeight="1">
      <c r="A77" s="6"/>
      <c r="B77" s="6"/>
      <c r="C77" s="6"/>
      <c r="D77" s="6"/>
      <c r="E77" s="6"/>
      <c r="F77" s="6"/>
      <c r="G77" s="6"/>
      <c r="H77" s="6"/>
      <c r="I77" s="6"/>
      <c r="J77" s="6"/>
      <c r="K77" s="6"/>
      <c r="L77" s="6"/>
      <c r="M77" s="6"/>
    </row>
    <row r="78" ht="15.75" customHeight="1">
      <c r="A78" s="6"/>
      <c r="B78" s="6"/>
      <c r="C78" s="6"/>
      <c r="D78" s="6"/>
      <c r="E78" s="6"/>
      <c r="F78" s="6"/>
      <c r="G78" s="6"/>
      <c r="H78" s="6"/>
      <c r="I78" s="6"/>
      <c r="J78" s="6"/>
      <c r="K78" s="6"/>
      <c r="L78" s="6"/>
      <c r="M78" s="6"/>
    </row>
    <row r="79" ht="15.75" customHeight="1">
      <c r="A79" s="6"/>
      <c r="B79" s="6"/>
      <c r="C79" s="6"/>
      <c r="D79" s="6"/>
      <c r="E79" s="6"/>
      <c r="F79" s="6"/>
      <c r="G79" s="6"/>
      <c r="H79" s="6"/>
      <c r="I79" s="6"/>
      <c r="J79" s="6"/>
      <c r="K79" s="6"/>
      <c r="L79" s="6"/>
      <c r="M79" s="6"/>
    </row>
    <row r="80" ht="15.75" customHeight="1">
      <c r="A80" s="6"/>
      <c r="B80" s="6"/>
      <c r="C80" s="6"/>
      <c r="D80" s="6"/>
      <c r="E80" s="6"/>
      <c r="F80" s="6"/>
      <c r="G80" s="6"/>
      <c r="H80" s="6"/>
      <c r="I80" s="6"/>
      <c r="J80" s="6"/>
      <c r="K80" s="6"/>
      <c r="L80" s="6"/>
      <c r="M80" s="6"/>
    </row>
    <row r="81" ht="15.75" customHeight="1">
      <c r="A81" s="6"/>
      <c r="B81" s="6"/>
      <c r="C81" s="6"/>
      <c r="D81" s="6"/>
      <c r="E81" s="6"/>
      <c r="F81" s="6"/>
      <c r="G81" s="6"/>
      <c r="H81" s="6"/>
      <c r="I81" s="6"/>
      <c r="J81" s="6"/>
      <c r="K81" s="6"/>
      <c r="L81" s="6"/>
      <c r="M81" s="6"/>
    </row>
    <row r="82" ht="15.75" customHeight="1">
      <c r="A82" s="6"/>
      <c r="B82" s="6"/>
      <c r="C82" s="6"/>
      <c r="D82" s="6"/>
      <c r="E82" s="6"/>
      <c r="F82" s="6"/>
      <c r="G82" s="6"/>
      <c r="H82" s="6"/>
      <c r="I82" s="6"/>
      <c r="J82" s="6"/>
      <c r="K82" s="6"/>
      <c r="L82" s="6"/>
      <c r="M82" s="6"/>
    </row>
    <row r="83" ht="15.75" customHeight="1">
      <c r="A83" s="6"/>
      <c r="B83" s="6"/>
      <c r="C83" s="6"/>
      <c r="D83" s="6"/>
      <c r="E83" s="6"/>
      <c r="F83" s="6"/>
      <c r="G83" s="6"/>
      <c r="H83" s="6"/>
      <c r="I83" s="6"/>
      <c r="J83" s="6"/>
      <c r="K83" s="6"/>
      <c r="L83" s="6"/>
      <c r="M83" s="6"/>
    </row>
    <row r="84" ht="15.75" customHeight="1">
      <c r="A84" s="6"/>
      <c r="B84" s="6"/>
      <c r="C84" s="6"/>
      <c r="D84" s="6"/>
      <c r="E84" s="6"/>
      <c r="F84" s="6"/>
      <c r="G84" s="6"/>
      <c r="H84" s="6"/>
      <c r="I84" s="6"/>
      <c r="J84" s="6"/>
      <c r="K84" s="6"/>
      <c r="L84" s="6"/>
      <c r="M84" s="6"/>
    </row>
    <row r="85" ht="15.75" customHeight="1">
      <c r="A85" s="6"/>
      <c r="B85" s="6"/>
      <c r="C85" s="6"/>
      <c r="D85" s="6"/>
      <c r="E85" s="6"/>
      <c r="F85" s="6"/>
      <c r="G85" s="6"/>
      <c r="H85" s="6"/>
      <c r="I85" s="6"/>
      <c r="J85" s="6"/>
      <c r="K85" s="6"/>
      <c r="L85" s="6"/>
      <c r="M85" s="6"/>
    </row>
    <row r="86" ht="15.75" customHeight="1">
      <c r="A86" s="6"/>
      <c r="B86" s="6"/>
      <c r="C86" s="6"/>
      <c r="D86" s="6"/>
      <c r="E86" s="6"/>
      <c r="F86" s="6"/>
      <c r="G86" s="6"/>
      <c r="H86" s="6"/>
      <c r="I86" s="6"/>
      <c r="J86" s="6"/>
      <c r="K86" s="6"/>
      <c r="L86" s="6"/>
      <c r="M86" s="6"/>
    </row>
    <row r="87" ht="15.75" customHeight="1">
      <c r="A87" s="6"/>
      <c r="B87" s="6"/>
      <c r="C87" s="6"/>
      <c r="D87" s="6"/>
      <c r="E87" s="6"/>
      <c r="F87" s="6"/>
      <c r="G87" s="6"/>
      <c r="H87" s="6"/>
      <c r="I87" s="6"/>
      <c r="J87" s="6"/>
      <c r="K87" s="6"/>
      <c r="L87" s="6"/>
      <c r="M87" s="6"/>
    </row>
    <row r="88" ht="15.75" customHeight="1">
      <c r="A88" s="6"/>
      <c r="B88" s="6"/>
      <c r="C88" s="6"/>
      <c r="D88" s="6"/>
      <c r="E88" s="6"/>
      <c r="F88" s="6"/>
      <c r="G88" s="6"/>
      <c r="H88" s="6"/>
      <c r="I88" s="6"/>
      <c r="J88" s="6"/>
      <c r="K88" s="6"/>
      <c r="L88" s="6"/>
      <c r="M88" s="6"/>
    </row>
    <row r="89" ht="15.75" customHeight="1">
      <c r="A89" s="6"/>
      <c r="B89" s="6"/>
      <c r="C89" s="6"/>
      <c r="D89" s="6"/>
      <c r="E89" s="6"/>
      <c r="F89" s="6"/>
      <c r="G89" s="6"/>
      <c r="H89" s="6"/>
      <c r="I89" s="6"/>
      <c r="J89" s="6"/>
      <c r="K89" s="6"/>
      <c r="L89" s="6"/>
      <c r="M89" s="6"/>
    </row>
    <row r="90" ht="15.75" customHeight="1">
      <c r="A90" s="6"/>
      <c r="B90" s="6"/>
      <c r="C90" s="6"/>
      <c r="D90" s="6"/>
      <c r="E90" s="6"/>
      <c r="F90" s="6"/>
      <c r="G90" s="6"/>
      <c r="H90" s="6"/>
      <c r="I90" s="6"/>
      <c r="J90" s="6"/>
      <c r="K90" s="6"/>
      <c r="L90" s="6"/>
      <c r="M90" s="6"/>
    </row>
    <row r="91" ht="15.75" customHeight="1">
      <c r="A91" s="6"/>
      <c r="B91" s="6"/>
      <c r="C91" s="6"/>
      <c r="D91" s="6"/>
      <c r="E91" s="6"/>
      <c r="F91" s="6"/>
      <c r="G91" s="6"/>
      <c r="H91" s="6"/>
      <c r="I91" s="6"/>
      <c r="J91" s="6"/>
      <c r="K91" s="6"/>
      <c r="L91" s="6"/>
      <c r="M91" s="6"/>
    </row>
    <row r="92" ht="15.75" customHeight="1">
      <c r="A92" s="6"/>
      <c r="B92" s="6"/>
      <c r="C92" s="6"/>
      <c r="D92" s="6"/>
      <c r="E92" s="6"/>
      <c r="F92" s="6"/>
      <c r="G92" s="6"/>
      <c r="H92" s="6"/>
      <c r="I92" s="6"/>
      <c r="J92" s="6"/>
      <c r="K92" s="6"/>
      <c r="L92" s="6"/>
      <c r="M92" s="6"/>
    </row>
    <row r="93" ht="15.75" customHeight="1">
      <c r="A93" s="6"/>
      <c r="B93" s="6"/>
      <c r="C93" s="6"/>
      <c r="D93" s="6"/>
      <c r="E93" s="6"/>
      <c r="F93" s="6"/>
      <c r="G93" s="6"/>
      <c r="H93" s="6"/>
      <c r="I93" s="6"/>
      <c r="J93" s="6"/>
      <c r="K93" s="6"/>
      <c r="L93" s="6"/>
      <c r="M93" s="6"/>
    </row>
    <row r="94" ht="15.75" customHeight="1">
      <c r="A94" s="6"/>
      <c r="B94" s="6"/>
      <c r="C94" s="6"/>
      <c r="D94" s="6"/>
      <c r="E94" s="6"/>
      <c r="F94" s="6"/>
      <c r="G94" s="6"/>
      <c r="H94" s="6"/>
      <c r="I94" s="6"/>
      <c r="J94" s="6"/>
      <c r="K94" s="6"/>
      <c r="L94" s="6"/>
      <c r="M94" s="6"/>
    </row>
    <row r="95" ht="15.75" customHeight="1">
      <c r="A95" s="6"/>
      <c r="B95" s="6"/>
      <c r="C95" s="6"/>
      <c r="D95" s="6"/>
      <c r="E95" s="6"/>
      <c r="F95" s="6"/>
      <c r="G95" s="6"/>
      <c r="H95" s="6"/>
      <c r="I95" s="6"/>
      <c r="J95" s="6"/>
      <c r="K95" s="6"/>
      <c r="L95" s="6"/>
      <c r="M95" s="6"/>
    </row>
    <row r="96" ht="15.75" customHeight="1">
      <c r="A96" s="6"/>
      <c r="B96" s="6"/>
      <c r="C96" s="6"/>
      <c r="D96" s="6"/>
      <c r="E96" s="6"/>
      <c r="F96" s="6"/>
      <c r="G96" s="6"/>
      <c r="H96" s="6"/>
      <c r="I96" s="6"/>
      <c r="J96" s="6"/>
      <c r="K96" s="6"/>
      <c r="L96" s="6"/>
      <c r="M96" s="6"/>
    </row>
    <row r="97" ht="15.75" customHeight="1">
      <c r="A97" s="6"/>
      <c r="B97" s="6"/>
      <c r="C97" s="6"/>
      <c r="D97" s="6"/>
      <c r="E97" s="6"/>
      <c r="F97" s="6"/>
      <c r="G97" s="6"/>
      <c r="H97" s="6"/>
      <c r="I97" s="6"/>
      <c r="J97" s="6"/>
      <c r="K97" s="6"/>
      <c r="L97" s="6"/>
      <c r="M97" s="6"/>
    </row>
    <row r="98" ht="15.75" customHeight="1">
      <c r="A98" s="6"/>
      <c r="B98" s="6"/>
      <c r="C98" s="6"/>
      <c r="D98" s="6"/>
      <c r="E98" s="6"/>
      <c r="F98" s="6"/>
      <c r="G98" s="6"/>
      <c r="H98" s="6"/>
      <c r="I98" s="6"/>
      <c r="J98" s="6"/>
      <c r="K98" s="6"/>
      <c r="L98" s="6"/>
      <c r="M98" s="6"/>
    </row>
    <row r="99" ht="15.75" customHeight="1">
      <c r="A99" s="6"/>
      <c r="B99" s="6"/>
      <c r="C99" s="6"/>
      <c r="D99" s="6"/>
      <c r="E99" s="6"/>
      <c r="F99" s="6"/>
      <c r="G99" s="6"/>
      <c r="H99" s="6"/>
      <c r="I99" s="6"/>
      <c r="J99" s="6"/>
      <c r="K99" s="6"/>
      <c r="L99" s="6"/>
      <c r="M99" s="6"/>
    </row>
    <row r="100" ht="15.75" customHeight="1">
      <c r="A100" s="6"/>
      <c r="B100" s="6"/>
      <c r="C100" s="6"/>
      <c r="D100" s="6"/>
      <c r="E100" s="6"/>
      <c r="F100" s="6"/>
      <c r="G100" s="6"/>
      <c r="H100" s="6"/>
      <c r="I100" s="6"/>
      <c r="J100" s="6"/>
      <c r="K100" s="6"/>
      <c r="L100" s="6"/>
      <c r="M100" s="6"/>
    </row>
    <row r="101" ht="15.75" customHeight="1">
      <c r="A101" s="6"/>
      <c r="B101" s="6"/>
      <c r="C101" s="6"/>
      <c r="D101" s="6"/>
      <c r="E101" s="6"/>
      <c r="F101" s="6"/>
      <c r="G101" s="6"/>
      <c r="H101" s="6"/>
      <c r="I101" s="6"/>
      <c r="J101" s="6"/>
      <c r="K101" s="6"/>
      <c r="L101" s="6"/>
      <c r="M101" s="6"/>
    </row>
    <row r="102" ht="15.75" customHeight="1">
      <c r="A102" s="6"/>
      <c r="B102" s="6"/>
      <c r="C102" s="6"/>
      <c r="D102" s="6"/>
      <c r="E102" s="6"/>
      <c r="F102" s="6"/>
      <c r="G102" s="6"/>
      <c r="H102" s="6"/>
      <c r="I102" s="6"/>
      <c r="J102" s="6"/>
      <c r="K102" s="6"/>
      <c r="L102" s="6"/>
      <c r="M102" s="6"/>
    </row>
    <row r="103" ht="15.75" customHeight="1">
      <c r="A103" s="6"/>
      <c r="B103" s="6"/>
      <c r="C103" s="6"/>
      <c r="D103" s="6"/>
      <c r="E103" s="6"/>
      <c r="F103" s="6"/>
      <c r="G103" s="6"/>
      <c r="H103" s="6"/>
      <c r="I103" s="6"/>
      <c r="J103" s="6"/>
      <c r="K103" s="6"/>
      <c r="L103" s="6"/>
      <c r="M103" s="6"/>
    </row>
    <row r="104" ht="15.75" customHeight="1">
      <c r="A104" s="6"/>
      <c r="B104" s="6"/>
      <c r="C104" s="6"/>
      <c r="D104" s="6"/>
      <c r="E104" s="6"/>
      <c r="F104" s="6"/>
      <c r="G104" s="6"/>
      <c r="H104" s="6"/>
      <c r="I104" s="6"/>
      <c r="J104" s="6"/>
      <c r="K104" s="6"/>
      <c r="L104" s="6"/>
      <c r="M104" s="6"/>
    </row>
    <row r="105" ht="15.75" customHeight="1">
      <c r="A105" s="6"/>
      <c r="B105" s="6"/>
      <c r="C105" s="6"/>
      <c r="D105" s="6"/>
      <c r="E105" s="6"/>
      <c r="F105" s="6"/>
      <c r="G105" s="6"/>
      <c r="H105" s="6"/>
      <c r="I105" s="6"/>
      <c r="J105" s="6"/>
      <c r="K105" s="6"/>
      <c r="L105" s="6"/>
      <c r="M105" s="6"/>
    </row>
    <row r="106" ht="15.75" customHeight="1">
      <c r="A106" s="6"/>
      <c r="B106" s="6"/>
      <c r="C106" s="6"/>
      <c r="D106" s="6"/>
      <c r="E106" s="6"/>
      <c r="F106" s="6"/>
      <c r="G106" s="6"/>
      <c r="H106" s="6"/>
      <c r="I106" s="6"/>
      <c r="J106" s="6"/>
      <c r="K106" s="6"/>
      <c r="L106" s="6"/>
      <c r="M106" s="6"/>
    </row>
    <row r="107" ht="15.75" customHeight="1">
      <c r="A107" s="6"/>
      <c r="B107" s="6"/>
      <c r="C107" s="6"/>
      <c r="D107" s="6"/>
      <c r="E107" s="6"/>
      <c r="F107" s="6"/>
      <c r="G107" s="6"/>
      <c r="H107" s="6"/>
      <c r="I107" s="6"/>
      <c r="J107" s="6"/>
      <c r="K107" s="6"/>
      <c r="L107" s="6"/>
      <c r="M107" s="6"/>
    </row>
    <row r="108" ht="15.75" customHeight="1">
      <c r="A108" s="6"/>
      <c r="B108" s="6"/>
      <c r="C108" s="6"/>
      <c r="D108" s="6"/>
      <c r="E108" s="6"/>
      <c r="F108" s="6"/>
      <c r="G108" s="6"/>
      <c r="H108" s="6"/>
      <c r="I108" s="6"/>
      <c r="J108" s="6"/>
      <c r="K108" s="6"/>
      <c r="L108" s="6"/>
      <c r="M108" s="6"/>
    </row>
    <row r="109" ht="15.75" customHeight="1">
      <c r="A109" s="6"/>
      <c r="B109" s="6"/>
      <c r="C109" s="6"/>
      <c r="D109" s="6"/>
      <c r="E109" s="6"/>
      <c r="F109" s="6"/>
      <c r="G109" s="6"/>
      <c r="H109" s="6"/>
      <c r="I109" s="6"/>
      <c r="J109" s="6"/>
      <c r="K109" s="6"/>
      <c r="L109" s="6"/>
      <c r="M109" s="6"/>
    </row>
    <row r="110" ht="15.75" customHeight="1">
      <c r="A110" s="6"/>
      <c r="B110" s="6"/>
      <c r="C110" s="6"/>
      <c r="D110" s="6"/>
      <c r="E110" s="6"/>
      <c r="F110" s="6"/>
      <c r="G110" s="6"/>
      <c r="H110" s="6"/>
      <c r="I110" s="6"/>
      <c r="J110" s="6"/>
      <c r="K110" s="6"/>
      <c r="L110" s="6"/>
      <c r="M110" s="6"/>
    </row>
    <row r="111" ht="15.75" customHeight="1">
      <c r="A111" s="6"/>
      <c r="B111" s="6"/>
      <c r="C111" s="6"/>
      <c r="D111" s="6"/>
      <c r="E111" s="6"/>
      <c r="F111" s="6"/>
      <c r="G111" s="6"/>
      <c r="H111" s="6"/>
      <c r="I111" s="6"/>
      <c r="J111" s="6"/>
      <c r="K111" s="6"/>
      <c r="L111" s="6"/>
      <c r="M111" s="6"/>
    </row>
    <row r="112" ht="15.75" customHeight="1">
      <c r="A112" s="6"/>
      <c r="B112" s="6"/>
      <c r="C112" s="6"/>
      <c r="D112" s="6"/>
      <c r="E112" s="6"/>
      <c r="F112" s="6"/>
      <c r="G112" s="6"/>
      <c r="H112" s="6"/>
      <c r="I112" s="6"/>
      <c r="J112" s="6"/>
      <c r="K112" s="6"/>
      <c r="L112" s="6"/>
      <c r="M112" s="6"/>
    </row>
    <row r="113" ht="15.75" customHeight="1">
      <c r="A113" s="6"/>
      <c r="B113" s="6"/>
      <c r="C113" s="6"/>
      <c r="D113" s="6"/>
      <c r="E113" s="6"/>
      <c r="F113" s="6"/>
      <c r="G113" s="6"/>
      <c r="H113" s="6"/>
      <c r="I113" s="6"/>
      <c r="J113" s="6"/>
      <c r="K113" s="6"/>
      <c r="L113" s="6"/>
      <c r="M113" s="6"/>
    </row>
    <row r="114" ht="15.75" customHeight="1">
      <c r="A114" s="6"/>
      <c r="B114" s="6"/>
      <c r="C114" s="6"/>
      <c r="D114" s="6"/>
      <c r="E114" s="6"/>
      <c r="F114" s="6"/>
      <c r="G114" s="6"/>
      <c r="H114" s="6"/>
      <c r="I114" s="6"/>
      <c r="J114" s="6"/>
      <c r="K114" s="6"/>
      <c r="L114" s="6"/>
      <c r="M114" s="6"/>
    </row>
    <row r="115" ht="15.75" customHeight="1">
      <c r="A115" s="6"/>
      <c r="B115" s="6"/>
      <c r="C115" s="6"/>
      <c r="D115" s="6"/>
      <c r="E115" s="6"/>
      <c r="F115" s="6"/>
      <c r="G115" s="6"/>
      <c r="H115" s="6"/>
      <c r="I115" s="6"/>
      <c r="J115" s="6"/>
      <c r="K115" s="6"/>
      <c r="L115" s="6"/>
      <c r="M115" s="6"/>
    </row>
    <row r="116" ht="15.75" customHeight="1">
      <c r="A116" s="6"/>
      <c r="B116" s="6"/>
      <c r="C116" s="6"/>
      <c r="D116" s="6"/>
      <c r="E116" s="6"/>
      <c r="F116" s="6"/>
      <c r="G116" s="6"/>
      <c r="H116" s="6"/>
      <c r="I116" s="6"/>
      <c r="J116" s="6"/>
      <c r="K116" s="6"/>
      <c r="L116" s="6"/>
      <c r="M116" s="6"/>
    </row>
    <row r="117" ht="15.75" customHeight="1">
      <c r="A117" s="6"/>
      <c r="B117" s="6"/>
      <c r="C117" s="6"/>
      <c r="D117" s="6"/>
      <c r="E117" s="6"/>
      <c r="F117" s="6"/>
      <c r="G117" s="6"/>
      <c r="H117" s="6"/>
      <c r="I117" s="6"/>
      <c r="J117" s="6"/>
      <c r="K117" s="6"/>
      <c r="L117" s="6"/>
      <c r="M117" s="6"/>
    </row>
    <row r="118" ht="15.75" customHeight="1">
      <c r="A118" s="6"/>
      <c r="B118" s="6"/>
      <c r="C118" s="6"/>
      <c r="D118" s="6"/>
      <c r="E118" s="6"/>
      <c r="F118" s="6"/>
      <c r="G118" s="6"/>
      <c r="H118" s="6"/>
      <c r="I118" s="6"/>
      <c r="J118" s="6"/>
      <c r="K118" s="6"/>
      <c r="L118" s="6"/>
      <c r="M118" s="6"/>
    </row>
    <row r="119" ht="15.75" customHeight="1">
      <c r="A119" s="6"/>
      <c r="B119" s="6"/>
      <c r="C119" s="6"/>
      <c r="D119" s="6"/>
      <c r="E119" s="6"/>
      <c r="F119" s="6"/>
      <c r="G119" s="6"/>
      <c r="H119" s="6"/>
      <c r="I119" s="6"/>
      <c r="J119" s="6"/>
      <c r="K119" s="6"/>
      <c r="L119" s="6"/>
      <c r="M119" s="6"/>
    </row>
    <row r="120" ht="15.75" customHeight="1">
      <c r="A120" s="6"/>
      <c r="B120" s="6"/>
      <c r="C120" s="6"/>
      <c r="D120" s="6"/>
      <c r="E120" s="6"/>
      <c r="F120" s="6"/>
      <c r="G120" s="6"/>
      <c r="H120" s="6"/>
      <c r="I120" s="6"/>
      <c r="J120" s="6"/>
      <c r="K120" s="6"/>
      <c r="L120" s="6"/>
      <c r="M120" s="6"/>
    </row>
    <row r="121" ht="15.75" customHeight="1">
      <c r="A121" s="6"/>
      <c r="B121" s="6"/>
      <c r="C121" s="6"/>
      <c r="D121" s="6"/>
      <c r="E121" s="6"/>
      <c r="F121" s="6"/>
      <c r="G121" s="6"/>
      <c r="H121" s="6"/>
      <c r="I121" s="6"/>
      <c r="J121" s="6"/>
      <c r="K121" s="6"/>
      <c r="L121" s="6"/>
      <c r="M121" s="6"/>
    </row>
    <row r="122" ht="15.75" customHeight="1">
      <c r="A122" s="6"/>
      <c r="B122" s="6"/>
      <c r="C122" s="6"/>
      <c r="D122" s="6"/>
      <c r="E122" s="6"/>
      <c r="F122" s="6"/>
      <c r="G122" s="6"/>
      <c r="H122" s="6"/>
      <c r="I122" s="6"/>
      <c r="J122" s="6"/>
      <c r="K122" s="6"/>
      <c r="L122" s="6"/>
      <c r="M122" s="6"/>
    </row>
    <row r="123" ht="15.75" customHeight="1">
      <c r="A123" s="6"/>
      <c r="B123" s="6"/>
      <c r="C123" s="6"/>
      <c r="D123" s="6"/>
      <c r="E123" s="6"/>
      <c r="F123" s="6"/>
      <c r="G123" s="6"/>
      <c r="H123" s="6"/>
      <c r="I123" s="6"/>
      <c r="J123" s="6"/>
      <c r="K123" s="6"/>
      <c r="L123" s="6"/>
      <c r="M123" s="6"/>
    </row>
    <row r="124" ht="15.75" customHeight="1">
      <c r="A124" s="6"/>
      <c r="B124" s="6"/>
      <c r="C124" s="6"/>
      <c r="D124" s="6"/>
      <c r="E124" s="6"/>
      <c r="F124" s="6"/>
      <c r="G124" s="6"/>
      <c r="H124" s="6"/>
      <c r="I124" s="6"/>
      <c r="J124" s="6"/>
      <c r="K124" s="6"/>
      <c r="L124" s="6"/>
      <c r="M124" s="6"/>
    </row>
    <row r="125" ht="15.75" customHeight="1">
      <c r="A125" s="6"/>
      <c r="B125" s="6"/>
      <c r="C125" s="6"/>
      <c r="D125" s="6"/>
      <c r="E125" s="6"/>
      <c r="F125" s="6"/>
      <c r="G125" s="6"/>
      <c r="H125" s="6"/>
      <c r="I125" s="6"/>
      <c r="J125" s="6"/>
      <c r="K125" s="6"/>
      <c r="L125" s="6"/>
      <c r="M125" s="6"/>
    </row>
    <row r="126" ht="15.75" customHeight="1">
      <c r="A126" s="6"/>
      <c r="B126" s="6"/>
      <c r="C126" s="6"/>
      <c r="D126" s="6"/>
      <c r="E126" s="6"/>
      <c r="F126" s="6"/>
      <c r="G126" s="6"/>
      <c r="H126" s="6"/>
      <c r="I126" s="6"/>
      <c r="J126" s="6"/>
      <c r="K126" s="6"/>
      <c r="L126" s="6"/>
      <c r="M126" s="6"/>
    </row>
    <row r="127" ht="15.75" customHeight="1">
      <c r="A127" s="6"/>
      <c r="B127" s="6"/>
      <c r="C127" s="6"/>
      <c r="D127" s="6"/>
      <c r="E127" s="6"/>
      <c r="F127" s="6"/>
      <c r="G127" s="6"/>
      <c r="H127" s="6"/>
      <c r="I127" s="6"/>
      <c r="J127" s="6"/>
      <c r="K127" s="6"/>
      <c r="L127" s="6"/>
      <c r="M127" s="6"/>
    </row>
    <row r="128" ht="15.75" customHeight="1">
      <c r="A128" s="6"/>
      <c r="B128" s="6"/>
      <c r="C128" s="6"/>
      <c r="D128" s="6"/>
      <c r="E128" s="6"/>
      <c r="F128" s="6"/>
      <c r="G128" s="6"/>
      <c r="H128" s="6"/>
      <c r="I128" s="6"/>
      <c r="J128" s="6"/>
      <c r="K128" s="6"/>
      <c r="L128" s="6"/>
      <c r="M128" s="6"/>
    </row>
    <row r="129" ht="15.75" customHeight="1">
      <c r="A129" s="6"/>
      <c r="B129" s="6"/>
      <c r="C129" s="6"/>
      <c r="D129" s="6"/>
      <c r="E129" s="6"/>
      <c r="F129" s="6"/>
      <c r="G129" s="6"/>
      <c r="H129" s="6"/>
      <c r="I129" s="6"/>
      <c r="J129" s="6"/>
      <c r="K129" s="6"/>
      <c r="L129" s="6"/>
      <c r="M129" s="6"/>
    </row>
    <row r="130" ht="15.75" customHeight="1">
      <c r="A130" s="6"/>
      <c r="B130" s="6"/>
      <c r="C130" s="6"/>
      <c r="D130" s="6"/>
      <c r="E130" s="6"/>
      <c r="F130" s="6"/>
      <c r="G130" s="6"/>
      <c r="H130" s="6"/>
      <c r="I130" s="6"/>
      <c r="J130" s="6"/>
      <c r="K130" s="6"/>
      <c r="L130" s="6"/>
      <c r="M130" s="6"/>
    </row>
    <row r="131" ht="15.75" customHeight="1">
      <c r="A131" s="6"/>
      <c r="B131" s="6"/>
      <c r="C131" s="6"/>
      <c r="D131" s="6"/>
      <c r="E131" s="6"/>
      <c r="F131" s="6"/>
      <c r="G131" s="6"/>
      <c r="H131" s="6"/>
      <c r="I131" s="6"/>
      <c r="J131" s="6"/>
      <c r="K131" s="6"/>
      <c r="L131" s="6"/>
      <c r="M131" s="6"/>
    </row>
    <row r="132" ht="15.75" customHeight="1">
      <c r="A132" s="6"/>
      <c r="B132" s="6"/>
      <c r="C132" s="6"/>
      <c r="D132" s="6"/>
      <c r="E132" s="6"/>
      <c r="F132" s="6"/>
      <c r="G132" s="6"/>
      <c r="H132" s="6"/>
      <c r="I132" s="6"/>
      <c r="J132" s="6"/>
      <c r="K132" s="6"/>
      <c r="L132" s="6"/>
      <c r="M132" s="6"/>
    </row>
    <row r="133" ht="15.75" customHeight="1">
      <c r="A133" s="6"/>
      <c r="B133" s="6"/>
      <c r="C133" s="6"/>
      <c r="D133" s="6"/>
      <c r="E133" s="6"/>
      <c r="F133" s="6"/>
      <c r="G133" s="6"/>
      <c r="H133" s="6"/>
      <c r="I133" s="6"/>
      <c r="J133" s="6"/>
      <c r="K133" s="6"/>
      <c r="L133" s="6"/>
      <c r="M133" s="6"/>
    </row>
    <row r="134" ht="15.75" customHeight="1">
      <c r="A134" s="6"/>
      <c r="B134" s="6"/>
      <c r="C134" s="6"/>
      <c r="D134" s="6"/>
      <c r="E134" s="6"/>
      <c r="F134" s="6"/>
      <c r="G134" s="6"/>
      <c r="H134" s="6"/>
      <c r="I134" s="6"/>
      <c r="J134" s="6"/>
      <c r="K134" s="6"/>
      <c r="L134" s="6"/>
      <c r="M134" s="6"/>
    </row>
    <row r="135" ht="15.75" customHeight="1">
      <c r="A135" s="6"/>
      <c r="B135" s="6"/>
      <c r="C135" s="6"/>
      <c r="D135" s="6"/>
      <c r="E135" s="6"/>
      <c r="F135" s="6"/>
      <c r="G135" s="6"/>
      <c r="H135" s="6"/>
      <c r="I135" s="6"/>
      <c r="J135" s="6"/>
      <c r="K135" s="6"/>
      <c r="L135" s="6"/>
      <c r="M135" s="6"/>
    </row>
    <row r="136" ht="15.75" customHeight="1">
      <c r="A136" s="6"/>
      <c r="B136" s="6"/>
      <c r="C136" s="6"/>
      <c r="D136" s="6"/>
      <c r="E136" s="6"/>
      <c r="F136" s="6"/>
      <c r="G136" s="6"/>
      <c r="H136" s="6"/>
      <c r="I136" s="6"/>
      <c r="J136" s="6"/>
      <c r="K136" s="6"/>
      <c r="L136" s="6"/>
      <c r="M136" s="6"/>
    </row>
    <row r="137" ht="15.75" customHeight="1">
      <c r="A137" s="6"/>
      <c r="B137" s="6"/>
      <c r="C137" s="6"/>
      <c r="D137" s="6"/>
      <c r="E137" s="6"/>
      <c r="F137" s="6"/>
      <c r="G137" s="6"/>
      <c r="H137" s="6"/>
      <c r="I137" s="6"/>
      <c r="J137" s="6"/>
      <c r="K137" s="6"/>
      <c r="L137" s="6"/>
      <c r="M137" s="6"/>
    </row>
    <row r="138" ht="15.75" customHeight="1">
      <c r="A138" s="6"/>
      <c r="B138" s="6"/>
      <c r="C138" s="6"/>
      <c r="D138" s="6"/>
      <c r="E138" s="6"/>
      <c r="F138" s="6"/>
      <c r="G138" s="6"/>
      <c r="H138" s="6"/>
      <c r="I138" s="6"/>
      <c r="J138" s="6"/>
      <c r="K138" s="6"/>
      <c r="L138" s="6"/>
      <c r="M138" s="6"/>
    </row>
    <row r="139" ht="15.75" customHeight="1">
      <c r="A139" s="6"/>
      <c r="B139" s="6"/>
      <c r="C139" s="6"/>
      <c r="D139" s="6"/>
      <c r="E139" s="6"/>
      <c r="F139" s="6"/>
      <c r="G139" s="6"/>
      <c r="H139" s="6"/>
      <c r="I139" s="6"/>
      <c r="J139" s="6"/>
      <c r="K139" s="6"/>
      <c r="L139" s="6"/>
      <c r="M139" s="6"/>
    </row>
    <row r="140" ht="15.75" customHeight="1">
      <c r="A140" s="6"/>
      <c r="B140" s="6"/>
      <c r="C140" s="6"/>
      <c r="D140" s="6"/>
      <c r="E140" s="6"/>
      <c r="F140" s="6"/>
      <c r="G140" s="6"/>
      <c r="H140" s="6"/>
      <c r="I140" s="6"/>
      <c r="J140" s="6"/>
      <c r="K140" s="6"/>
      <c r="L140" s="6"/>
      <c r="M140" s="6"/>
    </row>
    <row r="141" ht="15.75" customHeight="1">
      <c r="A141" s="6"/>
      <c r="B141" s="6"/>
      <c r="C141" s="6"/>
      <c r="D141" s="6"/>
      <c r="E141" s="6"/>
      <c r="F141" s="6"/>
      <c r="G141" s="6"/>
      <c r="H141" s="6"/>
      <c r="I141" s="6"/>
      <c r="J141" s="6"/>
      <c r="K141" s="6"/>
      <c r="L141" s="6"/>
      <c r="M141" s="6"/>
    </row>
    <row r="142" ht="15.75" customHeight="1">
      <c r="A142" s="6"/>
      <c r="B142" s="6"/>
      <c r="C142" s="6"/>
      <c r="D142" s="6"/>
      <c r="E142" s="6"/>
      <c r="F142" s="6"/>
      <c r="G142" s="6"/>
      <c r="H142" s="6"/>
      <c r="I142" s="6"/>
      <c r="J142" s="6"/>
      <c r="K142" s="6"/>
      <c r="L142" s="6"/>
      <c r="M142" s="6"/>
    </row>
    <row r="143" ht="15.75" customHeight="1">
      <c r="A143" s="6"/>
      <c r="B143" s="6"/>
      <c r="C143" s="6"/>
      <c r="D143" s="6"/>
      <c r="E143" s="6"/>
      <c r="F143" s="6"/>
      <c r="G143" s="6"/>
      <c r="H143" s="6"/>
      <c r="I143" s="6"/>
      <c r="J143" s="6"/>
      <c r="K143" s="6"/>
      <c r="L143" s="6"/>
      <c r="M143" s="6"/>
    </row>
    <row r="144" ht="15.75" customHeight="1">
      <c r="A144" s="6"/>
      <c r="B144" s="6"/>
      <c r="C144" s="6"/>
      <c r="D144" s="6"/>
      <c r="E144" s="6"/>
      <c r="F144" s="6"/>
      <c r="G144" s="6"/>
      <c r="H144" s="6"/>
      <c r="I144" s="6"/>
      <c r="J144" s="6"/>
      <c r="K144" s="6"/>
      <c r="L144" s="6"/>
      <c r="M144" s="6"/>
    </row>
    <row r="145" ht="15.75" customHeight="1">
      <c r="A145" s="6"/>
      <c r="B145" s="6"/>
      <c r="C145" s="6"/>
      <c r="D145" s="6"/>
      <c r="E145" s="6"/>
      <c r="F145" s="6"/>
      <c r="G145" s="6"/>
      <c r="H145" s="6"/>
      <c r="I145" s="6"/>
      <c r="J145" s="6"/>
      <c r="K145" s="6"/>
      <c r="L145" s="6"/>
      <c r="M145" s="6"/>
    </row>
    <row r="146" ht="15.75" customHeight="1">
      <c r="A146" s="6"/>
      <c r="B146" s="6"/>
      <c r="C146" s="6"/>
      <c r="D146" s="6"/>
      <c r="E146" s="6"/>
      <c r="F146" s="6"/>
      <c r="G146" s="6"/>
      <c r="H146" s="6"/>
      <c r="I146" s="6"/>
      <c r="J146" s="6"/>
      <c r="K146" s="6"/>
      <c r="L146" s="6"/>
      <c r="M146" s="6"/>
    </row>
    <row r="147" ht="15.75" customHeight="1">
      <c r="A147" s="6"/>
      <c r="B147" s="6"/>
      <c r="C147" s="6"/>
      <c r="D147" s="6"/>
      <c r="E147" s="6"/>
      <c r="F147" s="6"/>
      <c r="G147" s="6"/>
      <c r="H147" s="6"/>
      <c r="I147" s="6"/>
      <c r="J147" s="6"/>
      <c r="K147" s="6"/>
      <c r="L147" s="6"/>
      <c r="M147" s="6"/>
    </row>
    <row r="148" ht="15.75" customHeight="1">
      <c r="A148" s="6"/>
      <c r="B148" s="6"/>
      <c r="C148" s="6"/>
      <c r="D148" s="6"/>
      <c r="E148" s="6"/>
      <c r="F148" s="6"/>
      <c r="G148" s="6"/>
      <c r="H148" s="6"/>
      <c r="I148" s="6"/>
      <c r="J148" s="6"/>
      <c r="K148" s="6"/>
      <c r="L148" s="6"/>
      <c r="M148" s="6"/>
    </row>
    <row r="149" ht="15.75" customHeight="1">
      <c r="A149" s="6"/>
      <c r="B149" s="6"/>
      <c r="C149" s="6"/>
      <c r="D149" s="6"/>
      <c r="E149" s="6"/>
      <c r="F149" s="6"/>
      <c r="G149" s="6"/>
      <c r="H149" s="6"/>
      <c r="I149" s="6"/>
      <c r="J149" s="6"/>
      <c r="K149" s="6"/>
      <c r="L149" s="6"/>
      <c r="M149" s="6"/>
    </row>
    <row r="150" ht="15.75" customHeight="1">
      <c r="A150" s="6"/>
      <c r="B150" s="6"/>
      <c r="C150" s="6"/>
      <c r="D150" s="6"/>
      <c r="E150" s="6"/>
      <c r="F150" s="6"/>
      <c r="G150" s="6"/>
      <c r="H150" s="6"/>
      <c r="I150" s="6"/>
      <c r="J150" s="6"/>
      <c r="K150" s="6"/>
      <c r="L150" s="6"/>
      <c r="M150" s="6"/>
    </row>
    <row r="151" ht="15.75" customHeight="1">
      <c r="A151" s="6"/>
      <c r="B151" s="6"/>
      <c r="C151" s="6"/>
      <c r="D151" s="6"/>
      <c r="E151" s="6"/>
      <c r="F151" s="6"/>
      <c r="G151" s="6"/>
      <c r="H151" s="6"/>
      <c r="I151" s="6"/>
      <c r="J151" s="6"/>
      <c r="K151" s="6"/>
      <c r="L151" s="6"/>
      <c r="M151" s="6"/>
    </row>
    <row r="152" ht="15.75" customHeight="1">
      <c r="A152" s="6"/>
      <c r="B152" s="6"/>
      <c r="C152" s="6"/>
      <c r="D152" s="6"/>
      <c r="E152" s="6"/>
      <c r="F152" s="6"/>
      <c r="G152" s="6"/>
      <c r="H152" s="6"/>
      <c r="I152" s="6"/>
      <c r="J152" s="6"/>
      <c r="K152" s="6"/>
      <c r="L152" s="6"/>
      <c r="M152" s="6"/>
    </row>
    <row r="153" ht="15.75" customHeight="1">
      <c r="A153" s="6"/>
      <c r="B153" s="6"/>
      <c r="C153" s="6"/>
      <c r="D153" s="6"/>
      <c r="E153" s="6"/>
      <c r="F153" s="6"/>
      <c r="G153" s="6"/>
      <c r="H153" s="6"/>
      <c r="I153" s="6"/>
      <c r="J153" s="6"/>
      <c r="K153" s="6"/>
      <c r="L153" s="6"/>
      <c r="M153" s="6"/>
    </row>
    <row r="154" ht="15.75" customHeight="1">
      <c r="A154" s="6"/>
      <c r="B154" s="6"/>
      <c r="C154" s="6"/>
      <c r="D154" s="6"/>
      <c r="E154" s="6"/>
      <c r="F154" s="6"/>
      <c r="G154" s="6"/>
      <c r="H154" s="6"/>
      <c r="I154" s="6"/>
      <c r="J154" s="6"/>
      <c r="K154" s="6"/>
      <c r="L154" s="6"/>
      <c r="M154" s="6"/>
    </row>
    <row r="155" ht="15.75" customHeight="1">
      <c r="A155" s="6"/>
      <c r="B155" s="6"/>
      <c r="C155" s="6"/>
      <c r="D155" s="6"/>
      <c r="E155" s="6"/>
      <c r="F155" s="6"/>
      <c r="G155" s="6"/>
      <c r="H155" s="6"/>
      <c r="I155" s="6"/>
      <c r="J155" s="6"/>
      <c r="K155" s="6"/>
      <c r="L155" s="6"/>
      <c r="M155" s="6"/>
    </row>
    <row r="156" ht="15.75" customHeight="1">
      <c r="A156" s="6"/>
      <c r="B156" s="6"/>
      <c r="C156" s="6"/>
      <c r="D156" s="6"/>
      <c r="E156" s="6"/>
      <c r="F156" s="6"/>
      <c r="G156" s="6"/>
      <c r="H156" s="6"/>
      <c r="I156" s="6"/>
      <c r="J156" s="6"/>
      <c r="K156" s="6"/>
      <c r="L156" s="6"/>
      <c r="M156" s="6"/>
    </row>
    <row r="157" ht="15.75" customHeight="1">
      <c r="A157" s="6"/>
      <c r="B157" s="6"/>
      <c r="C157" s="6"/>
      <c r="D157" s="6"/>
      <c r="E157" s="6"/>
      <c r="F157" s="6"/>
      <c r="G157" s="6"/>
      <c r="H157" s="6"/>
      <c r="I157" s="6"/>
      <c r="J157" s="6"/>
      <c r="K157" s="6"/>
      <c r="L157" s="6"/>
      <c r="M157" s="6"/>
    </row>
    <row r="158" ht="15.75" customHeight="1">
      <c r="A158" s="6"/>
      <c r="B158" s="6"/>
      <c r="C158" s="6"/>
      <c r="D158" s="6"/>
      <c r="E158" s="6"/>
      <c r="F158" s="6"/>
      <c r="G158" s="6"/>
      <c r="H158" s="6"/>
      <c r="I158" s="6"/>
      <c r="J158" s="6"/>
      <c r="K158" s="6"/>
      <c r="L158" s="6"/>
      <c r="M158" s="6"/>
    </row>
    <row r="159" ht="15.75" customHeight="1">
      <c r="A159" s="6"/>
      <c r="B159" s="6"/>
      <c r="C159" s="6"/>
      <c r="D159" s="6"/>
      <c r="E159" s="6"/>
      <c r="F159" s="6"/>
      <c r="G159" s="6"/>
      <c r="H159" s="6"/>
      <c r="I159" s="6"/>
      <c r="J159" s="6"/>
      <c r="K159" s="6"/>
      <c r="L159" s="6"/>
      <c r="M159" s="6"/>
    </row>
    <row r="160" ht="15.75" customHeight="1">
      <c r="A160" s="6"/>
      <c r="B160" s="6"/>
      <c r="C160" s="6"/>
      <c r="D160" s="6"/>
      <c r="E160" s="6"/>
      <c r="F160" s="6"/>
      <c r="G160" s="6"/>
      <c r="H160" s="6"/>
      <c r="I160" s="6"/>
      <c r="J160" s="6"/>
      <c r="K160" s="6"/>
      <c r="L160" s="6"/>
      <c r="M160" s="6"/>
    </row>
    <row r="161" ht="15.75" customHeight="1">
      <c r="A161" s="6"/>
      <c r="B161" s="6"/>
      <c r="C161" s="6"/>
      <c r="D161" s="6"/>
      <c r="E161" s="6"/>
      <c r="F161" s="6"/>
      <c r="G161" s="6"/>
      <c r="H161" s="6"/>
      <c r="I161" s="6"/>
      <c r="J161" s="6"/>
      <c r="K161" s="6"/>
      <c r="L161" s="6"/>
      <c r="M161" s="6"/>
    </row>
    <row r="162" ht="15.75" customHeight="1">
      <c r="A162" s="6"/>
      <c r="B162" s="6"/>
      <c r="C162" s="6"/>
      <c r="D162" s="6"/>
      <c r="E162" s="6"/>
      <c r="F162" s="6"/>
      <c r="G162" s="6"/>
      <c r="H162" s="6"/>
      <c r="I162" s="6"/>
      <c r="J162" s="6"/>
      <c r="K162" s="6"/>
      <c r="L162" s="6"/>
      <c r="M162" s="6"/>
    </row>
    <row r="163" ht="15.75" customHeight="1">
      <c r="A163" s="6"/>
      <c r="B163" s="6"/>
      <c r="C163" s="6"/>
      <c r="D163" s="6"/>
      <c r="E163" s="6"/>
      <c r="F163" s="6"/>
      <c r="G163" s="6"/>
      <c r="H163" s="6"/>
      <c r="I163" s="6"/>
      <c r="J163" s="6"/>
      <c r="K163" s="6"/>
      <c r="L163" s="6"/>
      <c r="M163" s="6"/>
    </row>
    <row r="164" ht="15.75" customHeight="1">
      <c r="A164" s="6"/>
      <c r="B164" s="6"/>
      <c r="C164" s="6"/>
      <c r="D164" s="6"/>
      <c r="E164" s="6"/>
      <c r="F164" s="6"/>
      <c r="G164" s="6"/>
      <c r="H164" s="6"/>
      <c r="I164" s="6"/>
      <c r="J164" s="6"/>
      <c r="K164" s="6"/>
      <c r="L164" s="6"/>
      <c r="M164" s="6"/>
    </row>
    <row r="165" ht="15.75" customHeight="1">
      <c r="A165" s="6"/>
      <c r="B165" s="6"/>
      <c r="C165" s="6"/>
      <c r="D165" s="6"/>
      <c r="E165" s="6"/>
      <c r="F165" s="6"/>
      <c r="G165" s="6"/>
      <c r="H165" s="6"/>
      <c r="I165" s="6"/>
      <c r="J165" s="6"/>
      <c r="K165" s="6"/>
      <c r="L165" s="6"/>
      <c r="M165" s="6"/>
    </row>
    <row r="166" ht="15.75" customHeight="1">
      <c r="A166" s="6"/>
      <c r="B166" s="6"/>
      <c r="C166" s="6"/>
      <c r="D166" s="6"/>
      <c r="E166" s="6"/>
      <c r="F166" s="6"/>
      <c r="G166" s="6"/>
      <c r="H166" s="6"/>
      <c r="I166" s="6"/>
      <c r="J166" s="6"/>
      <c r="K166" s="6"/>
      <c r="L166" s="6"/>
      <c r="M166" s="6"/>
    </row>
    <row r="167" ht="15.75" customHeight="1">
      <c r="A167" s="6"/>
      <c r="B167" s="6"/>
      <c r="C167" s="6"/>
      <c r="D167" s="6"/>
      <c r="E167" s="6"/>
      <c r="F167" s="6"/>
      <c r="G167" s="6"/>
      <c r="H167" s="6"/>
      <c r="I167" s="6"/>
      <c r="J167" s="6"/>
      <c r="K167" s="6"/>
      <c r="L167" s="6"/>
      <c r="M167" s="6"/>
    </row>
    <row r="168" ht="15.75" customHeight="1">
      <c r="A168" s="6"/>
      <c r="B168" s="6"/>
      <c r="C168" s="6"/>
      <c r="D168" s="6"/>
      <c r="E168" s="6"/>
      <c r="F168" s="6"/>
      <c r="G168" s="6"/>
      <c r="H168" s="6"/>
      <c r="I168" s="6"/>
      <c r="J168" s="6"/>
      <c r="K168" s="6"/>
      <c r="L168" s="6"/>
      <c r="M168" s="6"/>
    </row>
    <row r="169" ht="15.75" customHeight="1">
      <c r="A169" s="6"/>
      <c r="B169" s="6"/>
      <c r="C169" s="6"/>
      <c r="D169" s="6"/>
      <c r="E169" s="6"/>
      <c r="F169" s="6"/>
      <c r="G169" s="6"/>
      <c r="H169" s="6"/>
      <c r="I169" s="6"/>
      <c r="J169" s="6"/>
      <c r="K169" s="6"/>
      <c r="L169" s="6"/>
      <c r="M169" s="6"/>
    </row>
    <row r="170" ht="15.75" customHeight="1">
      <c r="A170" s="6"/>
      <c r="B170" s="6"/>
      <c r="C170" s="6"/>
      <c r="D170" s="6"/>
      <c r="E170" s="6"/>
      <c r="F170" s="6"/>
      <c r="G170" s="6"/>
      <c r="H170" s="6"/>
      <c r="I170" s="6"/>
      <c r="J170" s="6"/>
      <c r="K170" s="6"/>
      <c r="L170" s="6"/>
      <c r="M170" s="6"/>
    </row>
    <row r="171" ht="15.75" customHeight="1">
      <c r="A171" s="6"/>
      <c r="B171" s="6"/>
      <c r="C171" s="6"/>
      <c r="D171" s="6"/>
      <c r="E171" s="6"/>
      <c r="F171" s="6"/>
      <c r="G171" s="6"/>
      <c r="H171" s="6"/>
      <c r="I171" s="6"/>
      <c r="J171" s="6"/>
      <c r="K171" s="6"/>
      <c r="L171" s="6"/>
      <c r="M171" s="6"/>
    </row>
    <row r="172" ht="15.75" customHeight="1">
      <c r="A172" s="6"/>
      <c r="B172" s="6"/>
      <c r="C172" s="6"/>
      <c r="D172" s="6"/>
      <c r="E172" s="6"/>
      <c r="F172" s="6"/>
      <c r="G172" s="6"/>
      <c r="H172" s="6"/>
      <c r="I172" s="6"/>
      <c r="J172" s="6"/>
      <c r="K172" s="6"/>
      <c r="L172" s="6"/>
      <c r="M172" s="6"/>
    </row>
    <row r="173" ht="15.75" customHeight="1">
      <c r="A173" s="6"/>
      <c r="B173" s="6"/>
      <c r="C173" s="6"/>
      <c r="D173" s="6"/>
      <c r="E173" s="6"/>
      <c r="F173" s="6"/>
      <c r="G173" s="6"/>
      <c r="H173" s="6"/>
      <c r="I173" s="6"/>
      <c r="J173" s="6"/>
      <c r="K173" s="6"/>
      <c r="L173" s="6"/>
      <c r="M173" s="6"/>
    </row>
    <row r="174" ht="15.75" customHeight="1">
      <c r="A174" s="6"/>
      <c r="B174" s="6"/>
      <c r="C174" s="6"/>
      <c r="D174" s="6"/>
      <c r="E174" s="6"/>
      <c r="F174" s="6"/>
      <c r="G174" s="6"/>
      <c r="H174" s="6"/>
      <c r="I174" s="6"/>
      <c r="J174" s="6"/>
      <c r="K174" s="6"/>
      <c r="L174" s="6"/>
      <c r="M174" s="6"/>
    </row>
    <row r="175" ht="15.75" customHeight="1">
      <c r="A175" s="6"/>
      <c r="B175" s="6"/>
      <c r="C175" s="6"/>
      <c r="D175" s="6"/>
      <c r="E175" s="6"/>
      <c r="F175" s="6"/>
      <c r="G175" s="6"/>
      <c r="H175" s="6"/>
      <c r="I175" s="6"/>
      <c r="J175" s="6"/>
      <c r="K175" s="6"/>
      <c r="L175" s="6"/>
      <c r="M175" s="6"/>
    </row>
    <row r="176" ht="15.75" customHeight="1">
      <c r="A176" s="6"/>
      <c r="B176" s="6"/>
      <c r="C176" s="6"/>
      <c r="D176" s="6"/>
      <c r="E176" s="6"/>
      <c r="F176" s="6"/>
      <c r="G176" s="6"/>
      <c r="H176" s="6"/>
      <c r="I176" s="6"/>
      <c r="J176" s="6"/>
      <c r="K176" s="6"/>
      <c r="L176" s="6"/>
      <c r="M176" s="6"/>
    </row>
    <row r="177" ht="15.75" customHeight="1">
      <c r="A177" s="6"/>
      <c r="B177" s="6"/>
      <c r="C177" s="6"/>
      <c r="D177" s="6"/>
      <c r="E177" s="6"/>
      <c r="F177" s="6"/>
      <c r="G177" s="6"/>
      <c r="H177" s="6"/>
      <c r="I177" s="6"/>
      <c r="J177" s="6"/>
      <c r="K177" s="6"/>
      <c r="L177" s="6"/>
      <c r="M177" s="6"/>
    </row>
    <row r="178" ht="15.75" customHeight="1">
      <c r="A178" s="6"/>
      <c r="B178" s="6"/>
      <c r="C178" s="6"/>
      <c r="D178" s="6"/>
      <c r="E178" s="6"/>
      <c r="F178" s="6"/>
      <c r="G178" s="6"/>
      <c r="H178" s="6"/>
      <c r="I178" s="6"/>
      <c r="J178" s="6"/>
      <c r="K178" s="6"/>
      <c r="L178" s="6"/>
      <c r="M178" s="6"/>
    </row>
    <row r="179" ht="15.75" customHeight="1">
      <c r="A179" s="6"/>
      <c r="B179" s="6"/>
      <c r="C179" s="6"/>
      <c r="D179" s="6"/>
      <c r="E179" s="6"/>
      <c r="F179" s="6"/>
      <c r="G179" s="6"/>
      <c r="H179" s="6"/>
      <c r="I179" s="6"/>
      <c r="J179" s="6"/>
      <c r="K179" s="6"/>
      <c r="L179" s="6"/>
      <c r="M179" s="6"/>
    </row>
    <row r="180" ht="15.75" customHeight="1">
      <c r="A180" s="6"/>
      <c r="B180" s="6"/>
      <c r="C180" s="6"/>
      <c r="D180" s="6"/>
      <c r="E180" s="6"/>
      <c r="F180" s="6"/>
      <c r="G180" s="6"/>
      <c r="H180" s="6"/>
      <c r="I180" s="6"/>
      <c r="J180" s="6"/>
      <c r="K180" s="6"/>
      <c r="L180" s="6"/>
      <c r="M180" s="6"/>
    </row>
    <row r="181" ht="15.75" customHeight="1">
      <c r="A181" s="6"/>
      <c r="B181" s="6"/>
      <c r="C181" s="6"/>
      <c r="D181" s="6"/>
      <c r="E181" s="6"/>
      <c r="F181" s="6"/>
      <c r="G181" s="6"/>
      <c r="H181" s="6"/>
      <c r="I181" s="6"/>
      <c r="J181" s="6"/>
      <c r="K181" s="6"/>
      <c r="L181" s="6"/>
      <c r="M181" s="6"/>
    </row>
    <row r="182" ht="15.75" customHeight="1">
      <c r="A182" s="6"/>
      <c r="B182" s="6"/>
      <c r="C182" s="6"/>
      <c r="D182" s="6"/>
      <c r="E182" s="6"/>
      <c r="F182" s="6"/>
      <c r="G182" s="6"/>
      <c r="H182" s="6"/>
      <c r="I182" s="6"/>
      <c r="J182" s="6"/>
      <c r="K182" s="6"/>
      <c r="L182" s="6"/>
      <c r="M182" s="6"/>
    </row>
    <row r="183" ht="15.75" customHeight="1">
      <c r="A183" s="6"/>
      <c r="B183" s="6"/>
      <c r="C183" s="6"/>
      <c r="D183" s="6"/>
      <c r="E183" s="6"/>
      <c r="F183" s="6"/>
      <c r="G183" s="6"/>
      <c r="H183" s="6"/>
      <c r="I183" s="6"/>
      <c r="J183" s="6"/>
      <c r="K183" s="6"/>
      <c r="L183" s="6"/>
      <c r="M183" s="6"/>
    </row>
    <row r="184" ht="15.75" customHeight="1">
      <c r="A184" s="6"/>
      <c r="B184" s="6"/>
      <c r="C184" s="6"/>
      <c r="D184" s="6"/>
      <c r="E184" s="6"/>
      <c r="F184" s="6"/>
      <c r="G184" s="6"/>
      <c r="H184" s="6"/>
      <c r="I184" s="6"/>
      <c r="J184" s="6"/>
      <c r="K184" s="6"/>
      <c r="L184" s="6"/>
      <c r="M184" s="6"/>
    </row>
    <row r="185" ht="15.75" customHeight="1">
      <c r="A185" s="6"/>
      <c r="B185" s="6"/>
      <c r="C185" s="6"/>
      <c r="D185" s="6"/>
      <c r="E185" s="6"/>
      <c r="F185" s="6"/>
      <c r="G185" s="6"/>
      <c r="H185" s="6"/>
      <c r="I185" s="6"/>
      <c r="J185" s="6"/>
      <c r="K185" s="6"/>
      <c r="L185" s="6"/>
      <c r="M185" s="6"/>
    </row>
    <row r="186" ht="15.75" customHeight="1">
      <c r="A186" s="6"/>
      <c r="B186" s="6"/>
      <c r="C186" s="6"/>
      <c r="D186" s="6"/>
      <c r="E186" s="6"/>
      <c r="F186" s="6"/>
      <c r="G186" s="6"/>
      <c r="H186" s="6"/>
      <c r="I186" s="6"/>
      <c r="J186" s="6"/>
      <c r="K186" s="6"/>
      <c r="L186" s="6"/>
      <c r="M186" s="6"/>
    </row>
    <row r="187" ht="15.75" customHeight="1">
      <c r="A187" s="6"/>
      <c r="B187" s="6"/>
      <c r="C187" s="6"/>
      <c r="D187" s="6"/>
      <c r="E187" s="6"/>
      <c r="F187" s="6"/>
      <c r="G187" s="6"/>
      <c r="H187" s="6"/>
      <c r="I187" s="6"/>
      <c r="J187" s="6"/>
      <c r="K187" s="6"/>
      <c r="L187" s="6"/>
      <c r="M187" s="6"/>
    </row>
    <row r="188" ht="15.75" customHeight="1">
      <c r="A188" s="6"/>
      <c r="B188" s="6"/>
      <c r="C188" s="6"/>
      <c r="D188" s="6"/>
      <c r="E188" s="6"/>
      <c r="F188" s="6"/>
      <c r="G188" s="6"/>
      <c r="H188" s="6"/>
      <c r="I188" s="6"/>
      <c r="J188" s="6"/>
      <c r="K188" s="6"/>
      <c r="L188" s="6"/>
      <c r="M188" s="6"/>
    </row>
    <row r="189" ht="15.75" customHeight="1">
      <c r="A189" s="6"/>
      <c r="B189" s="6"/>
      <c r="C189" s="6"/>
      <c r="D189" s="6"/>
      <c r="E189" s="6"/>
      <c r="F189" s="6"/>
      <c r="G189" s="6"/>
      <c r="H189" s="6"/>
      <c r="I189" s="6"/>
      <c r="J189" s="6"/>
      <c r="K189" s="6"/>
      <c r="L189" s="6"/>
      <c r="M189" s="6"/>
    </row>
    <row r="190" ht="15.75" customHeight="1">
      <c r="A190" s="6"/>
      <c r="B190" s="6"/>
      <c r="C190" s="6"/>
      <c r="D190" s="6"/>
      <c r="E190" s="6"/>
      <c r="F190" s="6"/>
      <c r="G190" s="6"/>
      <c r="H190" s="6"/>
      <c r="I190" s="6"/>
      <c r="J190" s="6"/>
      <c r="K190" s="6"/>
      <c r="L190" s="6"/>
      <c r="M190" s="6"/>
    </row>
    <row r="191" ht="15.75" customHeight="1">
      <c r="A191" s="6"/>
      <c r="B191" s="6"/>
      <c r="C191" s="6"/>
      <c r="D191" s="6"/>
      <c r="E191" s="6"/>
      <c r="F191" s="6"/>
      <c r="G191" s="6"/>
      <c r="H191" s="6"/>
      <c r="I191" s="6"/>
      <c r="J191" s="6"/>
      <c r="K191" s="6"/>
      <c r="L191" s="6"/>
      <c r="M191" s="6"/>
    </row>
    <row r="192" ht="15.75" customHeight="1">
      <c r="A192" s="6"/>
      <c r="B192" s="6"/>
      <c r="C192" s="6"/>
      <c r="D192" s="6"/>
      <c r="E192" s="6"/>
      <c r="F192" s="6"/>
      <c r="G192" s="6"/>
      <c r="H192" s="6"/>
      <c r="I192" s="6"/>
      <c r="J192" s="6"/>
      <c r="K192" s="6"/>
      <c r="L192" s="6"/>
      <c r="M192" s="6"/>
    </row>
    <row r="193" ht="15.75" customHeight="1">
      <c r="A193" s="6"/>
      <c r="B193" s="6"/>
      <c r="C193" s="6"/>
      <c r="D193" s="6"/>
      <c r="E193" s="6"/>
      <c r="F193" s="6"/>
      <c r="G193" s="6"/>
      <c r="H193" s="6"/>
      <c r="I193" s="6"/>
      <c r="J193" s="6"/>
      <c r="K193" s="6"/>
      <c r="L193" s="6"/>
      <c r="M193" s="6"/>
    </row>
    <row r="194" ht="15.75" customHeight="1">
      <c r="A194" s="6"/>
      <c r="B194" s="6"/>
      <c r="C194" s="6"/>
      <c r="D194" s="6"/>
      <c r="E194" s="6"/>
      <c r="F194" s="6"/>
      <c r="G194" s="6"/>
      <c r="H194" s="6"/>
      <c r="I194" s="6"/>
      <c r="J194" s="6"/>
      <c r="K194" s="6"/>
      <c r="L194" s="6"/>
      <c r="M194" s="6"/>
    </row>
    <row r="195" ht="15.75" customHeight="1">
      <c r="A195" s="6"/>
      <c r="B195" s="6"/>
      <c r="C195" s="6"/>
      <c r="D195" s="6"/>
      <c r="E195" s="6"/>
      <c r="F195" s="6"/>
      <c r="G195" s="6"/>
      <c r="H195" s="6"/>
      <c r="I195" s="6"/>
      <c r="J195" s="6"/>
      <c r="K195" s="6"/>
      <c r="L195" s="6"/>
      <c r="M195" s="6"/>
    </row>
    <row r="196" ht="15.75" customHeight="1">
      <c r="A196" s="6"/>
      <c r="B196" s="6"/>
      <c r="C196" s="6"/>
      <c r="D196" s="6"/>
      <c r="E196" s="6"/>
      <c r="F196" s="6"/>
      <c r="G196" s="6"/>
      <c r="H196" s="6"/>
      <c r="I196" s="6"/>
      <c r="J196" s="6"/>
      <c r="K196" s="6"/>
      <c r="L196" s="6"/>
      <c r="M196" s="6"/>
    </row>
    <row r="197" ht="15.75" customHeight="1">
      <c r="A197" s="6"/>
      <c r="B197" s="6"/>
      <c r="C197" s="6"/>
      <c r="D197" s="6"/>
      <c r="E197" s="6"/>
      <c r="F197" s="6"/>
      <c r="G197" s="6"/>
      <c r="H197" s="6"/>
      <c r="I197" s="6"/>
      <c r="J197" s="6"/>
      <c r="K197" s="6"/>
      <c r="L197" s="6"/>
      <c r="M197" s="6"/>
    </row>
    <row r="198" ht="15.75" customHeight="1">
      <c r="A198" s="6"/>
      <c r="B198" s="6"/>
      <c r="C198" s="6"/>
      <c r="D198" s="6"/>
      <c r="E198" s="6"/>
      <c r="F198" s="6"/>
      <c r="G198" s="6"/>
      <c r="H198" s="6"/>
      <c r="I198" s="6"/>
      <c r="J198" s="6"/>
      <c r="K198" s="6"/>
      <c r="L198" s="6"/>
      <c r="M198" s="6"/>
    </row>
    <row r="199" ht="15.75" customHeight="1">
      <c r="A199" s="6"/>
      <c r="B199" s="6"/>
      <c r="C199" s="6"/>
      <c r="D199" s="6"/>
      <c r="E199" s="6"/>
      <c r="F199" s="6"/>
      <c r="G199" s="6"/>
      <c r="H199" s="6"/>
      <c r="I199" s="6"/>
      <c r="J199" s="6"/>
      <c r="K199" s="6"/>
      <c r="L199" s="6"/>
      <c r="M199" s="6"/>
    </row>
    <row r="200" ht="15.75" customHeight="1">
      <c r="A200" s="6"/>
      <c r="B200" s="6"/>
      <c r="C200" s="6"/>
      <c r="D200" s="6"/>
      <c r="E200" s="6"/>
      <c r="F200" s="6"/>
      <c r="G200" s="6"/>
      <c r="H200" s="6"/>
      <c r="I200" s="6"/>
      <c r="J200" s="6"/>
      <c r="K200" s="6"/>
      <c r="L200" s="6"/>
      <c r="M200" s="6"/>
    </row>
    <row r="201" ht="15.75" customHeight="1">
      <c r="A201" s="6"/>
      <c r="B201" s="6"/>
      <c r="C201" s="6"/>
      <c r="D201" s="6"/>
      <c r="E201" s="6"/>
      <c r="F201" s="6"/>
      <c r="G201" s="6"/>
      <c r="H201" s="6"/>
      <c r="I201" s="6"/>
      <c r="J201" s="6"/>
      <c r="K201" s="6"/>
      <c r="L201" s="6"/>
      <c r="M201" s="6"/>
    </row>
    <row r="202" ht="15.75" customHeight="1">
      <c r="A202" s="6"/>
      <c r="B202" s="6"/>
      <c r="C202" s="6"/>
      <c r="D202" s="6"/>
      <c r="E202" s="6"/>
      <c r="F202" s="6"/>
      <c r="G202" s="6"/>
      <c r="H202" s="6"/>
      <c r="I202" s="6"/>
      <c r="J202" s="6"/>
      <c r="K202" s="6"/>
      <c r="L202" s="6"/>
      <c r="M202" s="6"/>
    </row>
    <row r="203" ht="15.75" customHeight="1">
      <c r="A203" s="6"/>
      <c r="B203" s="6"/>
      <c r="C203" s="6"/>
      <c r="D203" s="6"/>
      <c r="E203" s="6"/>
      <c r="F203" s="6"/>
      <c r="G203" s="6"/>
      <c r="H203" s="6"/>
      <c r="I203" s="6"/>
      <c r="J203" s="6"/>
      <c r="K203" s="6"/>
      <c r="L203" s="6"/>
      <c r="M203" s="6"/>
    </row>
    <row r="204" ht="15.75" customHeight="1">
      <c r="A204" s="6"/>
      <c r="B204" s="6"/>
      <c r="C204" s="6"/>
      <c r="D204" s="6"/>
      <c r="E204" s="6"/>
      <c r="F204" s="6"/>
      <c r="G204" s="6"/>
      <c r="H204" s="6"/>
      <c r="I204" s="6"/>
      <c r="J204" s="6"/>
      <c r="K204" s="6"/>
      <c r="L204" s="6"/>
      <c r="M204" s="6"/>
    </row>
    <row r="205" ht="15.75" customHeight="1">
      <c r="A205" s="6"/>
      <c r="B205" s="6"/>
      <c r="C205" s="6"/>
      <c r="D205" s="6"/>
      <c r="E205" s="6"/>
      <c r="F205" s="6"/>
      <c r="G205" s="6"/>
      <c r="H205" s="6"/>
      <c r="I205" s="6"/>
      <c r="J205" s="6"/>
      <c r="K205" s="6"/>
      <c r="L205" s="6"/>
      <c r="M205" s="6"/>
    </row>
    <row r="206" ht="15.75" customHeight="1">
      <c r="A206" s="6"/>
      <c r="B206" s="6"/>
      <c r="C206" s="6"/>
      <c r="D206" s="6"/>
      <c r="E206" s="6"/>
      <c r="F206" s="6"/>
      <c r="G206" s="6"/>
      <c r="H206" s="6"/>
      <c r="I206" s="6"/>
      <c r="J206" s="6"/>
      <c r="K206" s="6"/>
      <c r="L206" s="6"/>
      <c r="M206" s="6"/>
    </row>
    <row r="207" ht="15.75" customHeight="1">
      <c r="A207" s="6"/>
      <c r="B207" s="6"/>
      <c r="C207" s="6"/>
      <c r="D207" s="6"/>
      <c r="E207" s="6"/>
      <c r="F207" s="6"/>
      <c r="G207" s="6"/>
      <c r="H207" s="6"/>
      <c r="I207" s="6"/>
      <c r="J207" s="6"/>
      <c r="K207" s="6"/>
      <c r="L207" s="6"/>
      <c r="M207" s="6"/>
    </row>
    <row r="208" ht="15.75" customHeight="1">
      <c r="A208" s="6"/>
      <c r="B208" s="6"/>
      <c r="C208" s="6"/>
      <c r="D208" s="6"/>
      <c r="E208" s="6"/>
      <c r="F208" s="6"/>
      <c r="G208" s="6"/>
      <c r="H208" s="6"/>
      <c r="I208" s="6"/>
      <c r="J208" s="6"/>
      <c r="K208" s="6"/>
      <c r="L208" s="6"/>
      <c r="M208" s="6"/>
    </row>
    <row r="209" ht="15.75" customHeight="1">
      <c r="A209" s="6"/>
      <c r="B209" s="6"/>
      <c r="C209" s="6"/>
      <c r="D209" s="6"/>
      <c r="E209" s="6"/>
      <c r="F209" s="6"/>
      <c r="G209" s="6"/>
      <c r="H209" s="6"/>
      <c r="I209" s="6"/>
      <c r="J209" s="6"/>
      <c r="K209" s="6"/>
      <c r="L209" s="6"/>
      <c r="M209" s="6"/>
    </row>
    <row r="210" ht="15.75" customHeight="1">
      <c r="A210" s="6"/>
      <c r="B210" s="6"/>
      <c r="C210" s="6"/>
      <c r="D210" s="6"/>
      <c r="E210" s="6"/>
      <c r="F210" s="6"/>
      <c r="G210" s="6"/>
      <c r="H210" s="6"/>
      <c r="I210" s="6"/>
      <c r="J210" s="6"/>
      <c r="K210" s="6"/>
      <c r="L210" s="6"/>
      <c r="M210" s="6"/>
    </row>
    <row r="211" ht="15.75" customHeight="1">
      <c r="A211" s="6"/>
      <c r="B211" s="6"/>
      <c r="C211" s="6"/>
      <c r="D211" s="6"/>
      <c r="E211" s="6"/>
      <c r="F211" s="6"/>
      <c r="G211" s="6"/>
      <c r="H211" s="6"/>
      <c r="I211" s="6"/>
      <c r="J211" s="6"/>
      <c r="K211" s="6"/>
      <c r="L211" s="6"/>
      <c r="M211" s="6"/>
    </row>
    <row r="212" ht="15.75" customHeight="1">
      <c r="A212" s="6"/>
      <c r="B212" s="6"/>
      <c r="C212" s="6"/>
      <c r="D212" s="6"/>
      <c r="E212" s="6"/>
      <c r="F212" s="6"/>
      <c r="G212" s="6"/>
      <c r="H212" s="6"/>
      <c r="I212" s="6"/>
      <c r="J212" s="6"/>
      <c r="K212" s="6"/>
      <c r="L212" s="6"/>
      <c r="M212" s="6"/>
    </row>
    <row r="213" ht="15.75" customHeight="1">
      <c r="A213" s="6"/>
      <c r="B213" s="6"/>
      <c r="C213" s="6"/>
      <c r="D213" s="6"/>
      <c r="E213" s="6"/>
      <c r="F213" s="6"/>
      <c r="G213" s="6"/>
      <c r="H213" s="6"/>
      <c r="I213" s="6"/>
      <c r="J213" s="6"/>
      <c r="K213" s="6"/>
      <c r="L213" s="6"/>
      <c r="M213" s="6"/>
    </row>
    <row r="214" ht="15.75" customHeight="1">
      <c r="A214" s="6"/>
      <c r="B214" s="6"/>
      <c r="C214" s="6"/>
      <c r="D214" s="6"/>
      <c r="E214" s="6"/>
      <c r="F214" s="6"/>
      <c r="G214" s="6"/>
      <c r="H214" s="6"/>
      <c r="I214" s="6"/>
      <c r="J214" s="6"/>
      <c r="K214" s="6"/>
      <c r="L214" s="6"/>
      <c r="M214" s="6"/>
    </row>
    <row r="215" ht="15.75" customHeight="1">
      <c r="A215" s="6"/>
      <c r="B215" s="6"/>
      <c r="C215" s="6"/>
      <c r="D215" s="6"/>
      <c r="E215" s="6"/>
      <c r="F215" s="6"/>
      <c r="G215" s="6"/>
      <c r="H215" s="6"/>
      <c r="I215" s="6"/>
      <c r="J215" s="6"/>
      <c r="K215" s="6"/>
      <c r="L215" s="6"/>
      <c r="M215" s="6"/>
    </row>
    <row r="216" ht="15.75" customHeight="1">
      <c r="A216" s="6"/>
      <c r="B216" s="6"/>
      <c r="C216" s="6"/>
      <c r="D216" s="6"/>
      <c r="E216" s="6"/>
      <c r="F216" s="6"/>
      <c r="G216" s="6"/>
      <c r="H216" s="6"/>
      <c r="I216" s="6"/>
      <c r="J216" s="6"/>
      <c r="K216" s="6"/>
      <c r="L216" s="6"/>
      <c r="M216" s="6"/>
    </row>
    <row r="217" ht="15.75" customHeight="1">
      <c r="A217" s="6"/>
      <c r="B217" s="6"/>
      <c r="C217" s="6"/>
      <c r="D217" s="6"/>
      <c r="E217" s="6"/>
      <c r="F217" s="6"/>
      <c r="G217" s="6"/>
      <c r="H217" s="6"/>
      <c r="I217" s="6"/>
      <c r="J217" s="6"/>
      <c r="K217" s="6"/>
      <c r="L217" s="6"/>
      <c r="M217" s="6"/>
    </row>
    <row r="218" ht="15.75" customHeight="1">
      <c r="A218" s="6"/>
      <c r="B218" s="6"/>
      <c r="C218" s="6"/>
      <c r="D218" s="6"/>
      <c r="E218" s="6"/>
      <c r="F218" s="6"/>
      <c r="G218" s="6"/>
      <c r="H218" s="6"/>
      <c r="I218" s="6"/>
      <c r="J218" s="6"/>
      <c r="K218" s="6"/>
      <c r="L218" s="6"/>
      <c r="M218" s="6"/>
    </row>
    <row r="219" ht="15.75" customHeight="1">
      <c r="A219" s="6"/>
      <c r="B219" s="6"/>
      <c r="C219" s="6"/>
      <c r="D219" s="6"/>
      <c r="E219" s="6"/>
      <c r="F219" s="6"/>
      <c r="G219" s="6"/>
      <c r="H219" s="6"/>
      <c r="I219" s="6"/>
      <c r="J219" s="6"/>
      <c r="K219" s="6"/>
      <c r="L219" s="6"/>
      <c r="M219" s="6"/>
    </row>
    <row r="220" ht="15.75" customHeight="1">
      <c r="A220" s="6"/>
      <c r="B220" s="6"/>
      <c r="C220" s="6"/>
      <c r="D220" s="6"/>
      <c r="E220" s="6"/>
      <c r="F220" s="6"/>
      <c r="G220" s="6"/>
      <c r="H220" s="6"/>
      <c r="I220" s="6"/>
      <c r="J220" s="6"/>
      <c r="K220" s="6"/>
      <c r="L220" s="6"/>
      <c r="M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0"/>
    <col customWidth="1" min="2" max="2" width="12.0"/>
    <col customWidth="1" min="3" max="3" width="28.0"/>
    <col customWidth="1" min="4" max="4" width="10.0"/>
    <col customWidth="1" min="5" max="5" width="12.0"/>
    <col customWidth="1" min="6" max="6" width="40.0"/>
    <col customWidth="1" min="7" max="7" width="28.0"/>
    <col customWidth="1" min="8" max="8" width="42.0"/>
    <col customWidth="1" min="9" max="9" width="18.0"/>
    <col customWidth="1" min="10" max="10" width="16.0"/>
    <col customWidth="1" min="11" max="11" width="12.0"/>
    <col customWidth="1" min="12" max="12" width="18.0"/>
    <col customWidth="1" min="13" max="13" width="42.0"/>
    <col customWidth="1" min="14" max="14" width="22.0"/>
    <col customWidth="1" min="15" max="15" width="16.0"/>
    <col customWidth="1" min="16" max="16" width="24.0"/>
    <col customWidth="1" min="17" max="17" width="12.0"/>
    <col customWidth="1" min="18" max="26" width="8.63"/>
  </cols>
  <sheetData>
    <row r="1">
      <c r="A1" s="22" t="s">
        <v>381</v>
      </c>
      <c r="B1" s="22" t="s">
        <v>317</v>
      </c>
      <c r="C1" s="22" t="s">
        <v>318</v>
      </c>
      <c r="D1" s="22" t="s">
        <v>0</v>
      </c>
      <c r="E1" s="22" t="s">
        <v>1</v>
      </c>
      <c r="F1" s="22" t="s">
        <v>344</v>
      </c>
      <c r="G1" s="22" t="s">
        <v>389</v>
      </c>
      <c r="H1" s="22" t="s">
        <v>390</v>
      </c>
      <c r="I1" s="22" t="s">
        <v>391</v>
      </c>
      <c r="J1" s="22" t="s">
        <v>392</v>
      </c>
      <c r="K1" s="22" t="s">
        <v>393</v>
      </c>
      <c r="L1" s="22" t="s">
        <v>394</v>
      </c>
      <c r="M1" s="22" t="s">
        <v>395</v>
      </c>
      <c r="N1" s="22" t="s">
        <v>382</v>
      </c>
      <c r="O1" s="22" t="s">
        <v>383</v>
      </c>
      <c r="P1" s="22" t="s">
        <v>384</v>
      </c>
      <c r="Q1" s="22" t="s">
        <v>396</v>
      </c>
    </row>
    <row r="2">
      <c r="A2" s="23">
        <v>46128.03310971065</v>
      </c>
      <c r="B2" s="24" t="s">
        <v>340</v>
      </c>
      <c r="C2" s="24" t="s">
        <v>17</v>
      </c>
      <c r="D2" s="24" t="s">
        <v>46</v>
      </c>
      <c r="E2" s="24" t="s">
        <v>47</v>
      </c>
      <c r="F2" s="24" t="s">
        <v>48</v>
      </c>
      <c r="G2" s="24" t="s">
        <v>397</v>
      </c>
      <c r="H2" s="25" t="s">
        <v>398</v>
      </c>
      <c r="I2" s="24" t="s">
        <v>399</v>
      </c>
      <c r="J2" s="24" t="s">
        <v>400</v>
      </c>
      <c r="K2" s="26">
        <v>837747.0</v>
      </c>
      <c r="L2" s="24" t="s">
        <v>401</v>
      </c>
      <c r="M2" s="25" t="s">
        <v>402</v>
      </c>
      <c r="N2" s="24" t="s">
        <v>387</v>
      </c>
      <c r="O2" s="24" t="s">
        <v>387</v>
      </c>
      <c r="P2" s="24" t="s">
        <v>387</v>
      </c>
      <c r="Q2" s="24" t="s">
        <v>403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H2"/>
    <hyperlink r:id="rId2" ref="M2"/>
  </hyperlinks>
  <printOptions/>
  <pageMargins bottom="1.0" footer="0.0" header="0.0" left="0.75" right="0.75" top="1.0"/>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13"/>
    <col customWidth="1" min="2" max="26" width="8.63"/>
  </cols>
  <sheetData>
    <row r="1">
      <c r="A1" s="27" t="s">
        <v>404</v>
      </c>
    </row>
    <row r="2">
      <c r="A2" s="27" t="s">
        <v>405</v>
      </c>
    </row>
    <row r="3">
      <c r="A3" s="27" t="s">
        <v>406</v>
      </c>
    </row>
    <row r="4">
      <c r="A4" s="27" t="s">
        <v>407</v>
      </c>
    </row>
    <row r="5">
      <c r="A5" s="27" t="s">
        <v>408</v>
      </c>
    </row>
    <row r="6">
      <c r="A6" s="27" t="s">
        <v>409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